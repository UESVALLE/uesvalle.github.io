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i unidad\8.UES\PAGINA INDICADORES\Informe Cementerios\"/>
    </mc:Choice>
  </mc:AlternateContent>
  <xr:revisionPtr revIDLastSave="0" documentId="13_ncr:1_{A3812784-E349-475E-AF16-BB82C2415AD6}" xr6:coauthVersionLast="47" xr6:coauthVersionMax="47" xr10:uidLastSave="{00000000-0000-0000-0000-000000000000}"/>
  <bookViews>
    <workbookView xWindow="-110" yWindow="-110" windowWidth="25820" windowHeight="15500" tabRatio="678" firstSheet="1" activeTab="1" xr2:uid="{00000000-000D-0000-FFFF-FFFF00000000}"/>
  </bookViews>
  <sheets>
    <sheet name="RESUMEN" sheetId="1" state="hidden" r:id="rId1"/>
    <sheet name="CEMENTERIOS" sheetId="2" r:id="rId2"/>
    <sheet name="ALOJAMIENTO_TEMPORAL" sheetId="3" r:id="rId3"/>
    <sheet name="VISITAS_ATI" sheetId="4" r:id="rId4"/>
    <sheet name="RESUMEN_MUNICIPAL" sheetId="5" r:id="rId5"/>
    <sheet name="CATALOGO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5" l="1"/>
  <c r="G28" i="5"/>
  <c r="F28" i="5"/>
  <c r="E28" i="5"/>
  <c r="D28" i="5"/>
  <c r="C28" i="5"/>
  <c r="B28" i="5"/>
  <c r="H27" i="5"/>
  <c r="G27" i="5"/>
  <c r="F27" i="5"/>
  <c r="E27" i="5"/>
  <c r="D27" i="5"/>
  <c r="C27" i="5"/>
  <c r="B27" i="5"/>
  <c r="H26" i="5"/>
  <c r="G26" i="5"/>
  <c r="F26" i="5"/>
  <c r="E26" i="5"/>
  <c r="D26" i="5"/>
  <c r="C26" i="5"/>
  <c r="B26" i="5"/>
  <c r="H25" i="5"/>
  <c r="G25" i="5"/>
  <c r="F25" i="5"/>
  <c r="E25" i="5"/>
  <c r="D25" i="5"/>
  <c r="C25" i="5"/>
  <c r="B25" i="5"/>
  <c r="H24" i="5"/>
  <c r="G24" i="5"/>
  <c r="F24" i="5"/>
  <c r="E24" i="5"/>
  <c r="D24" i="5"/>
  <c r="C24" i="5"/>
  <c r="B24" i="5"/>
  <c r="H23" i="5"/>
  <c r="G23" i="5"/>
  <c r="F23" i="5"/>
  <c r="E23" i="5"/>
  <c r="D23" i="5"/>
  <c r="C23" i="5"/>
  <c r="B23" i="5"/>
  <c r="H22" i="5"/>
  <c r="G22" i="5"/>
  <c r="F22" i="5"/>
  <c r="E22" i="5"/>
  <c r="D22" i="5"/>
  <c r="C22" i="5"/>
  <c r="B22" i="5"/>
  <c r="H21" i="5"/>
  <c r="G21" i="5"/>
  <c r="F21" i="5"/>
  <c r="E21" i="5"/>
  <c r="D21" i="5"/>
  <c r="C21" i="5"/>
  <c r="B21" i="5"/>
  <c r="H20" i="5"/>
  <c r="G20" i="5"/>
  <c r="F20" i="5"/>
  <c r="E20" i="5"/>
  <c r="D20" i="5"/>
  <c r="C20" i="5"/>
  <c r="B20" i="5"/>
  <c r="H19" i="5"/>
  <c r="G19" i="5"/>
  <c r="F19" i="5"/>
  <c r="E19" i="5"/>
  <c r="D19" i="5"/>
  <c r="C19" i="5"/>
  <c r="B19" i="5"/>
  <c r="H18" i="5"/>
  <c r="G18" i="5"/>
  <c r="F18" i="5"/>
  <c r="E18" i="5"/>
  <c r="D18" i="5"/>
  <c r="C18" i="5"/>
  <c r="B18" i="5"/>
  <c r="H17" i="5"/>
  <c r="G17" i="5"/>
  <c r="F17" i="5"/>
  <c r="E17" i="5"/>
  <c r="D17" i="5"/>
  <c r="C17" i="5"/>
  <c r="B17" i="5"/>
  <c r="H16" i="5"/>
  <c r="G16" i="5"/>
  <c r="F16" i="5"/>
  <c r="E16" i="5"/>
  <c r="D16" i="5"/>
  <c r="C16" i="5"/>
  <c r="B16" i="5"/>
  <c r="H15" i="5"/>
  <c r="G15" i="5"/>
  <c r="F15" i="5"/>
  <c r="E15" i="5"/>
  <c r="D15" i="5"/>
  <c r="C15" i="5"/>
  <c r="B15" i="5"/>
  <c r="H14" i="5"/>
  <c r="G14" i="5"/>
  <c r="F14" i="5"/>
  <c r="E14" i="5"/>
  <c r="D14" i="5"/>
  <c r="C14" i="5"/>
  <c r="B14" i="5"/>
  <c r="H13" i="5"/>
  <c r="G13" i="5"/>
  <c r="F13" i="5"/>
  <c r="E13" i="5"/>
  <c r="D13" i="5"/>
  <c r="C13" i="5"/>
  <c r="B13" i="5"/>
  <c r="H12" i="5"/>
  <c r="G12" i="5"/>
  <c r="F12" i="5"/>
  <c r="E12" i="5"/>
  <c r="D12" i="5"/>
  <c r="C12" i="5"/>
  <c r="B12" i="5"/>
  <c r="H11" i="5"/>
  <c r="G11" i="5"/>
  <c r="F11" i="5"/>
  <c r="E11" i="5"/>
  <c r="D11" i="5"/>
  <c r="C11" i="5"/>
  <c r="B11" i="5"/>
  <c r="H10" i="5"/>
  <c r="G10" i="5"/>
  <c r="F10" i="5"/>
  <c r="E10" i="5"/>
  <c r="D10" i="5"/>
  <c r="C10" i="5"/>
  <c r="B10" i="5"/>
  <c r="H9" i="5"/>
  <c r="G9" i="5"/>
  <c r="F9" i="5"/>
  <c r="E9" i="5"/>
  <c r="D9" i="5"/>
  <c r="C9" i="5"/>
  <c r="B9" i="5"/>
  <c r="H8" i="5"/>
  <c r="G8" i="5"/>
  <c r="F8" i="5"/>
  <c r="E8" i="5"/>
  <c r="D8" i="5"/>
  <c r="C8" i="5"/>
  <c r="B8" i="5"/>
  <c r="H7" i="5"/>
  <c r="G7" i="5"/>
  <c r="F7" i="5"/>
  <c r="E7" i="5"/>
  <c r="D7" i="5"/>
  <c r="C7" i="5"/>
  <c r="B7" i="5"/>
  <c r="H6" i="5"/>
  <c r="G6" i="5"/>
  <c r="F6" i="5"/>
  <c r="E6" i="5"/>
  <c r="D6" i="5"/>
  <c r="C6" i="5"/>
  <c r="B6" i="5"/>
  <c r="H5" i="5"/>
  <c r="G5" i="5"/>
  <c r="F5" i="5"/>
  <c r="E5" i="5"/>
  <c r="D5" i="5"/>
  <c r="C5" i="5"/>
  <c r="B5" i="5"/>
  <c r="H4" i="5"/>
  <c r="G4" i="5"/>
  <c r="F4" i="5"/>
  <c r="E4" i="5"/>
  <c r="D4" i="5"/>
  <c r="C4" i="5"/>
  <c r="B4" i="5"/>
  <c r="H3" i="5"/>
  <c r="G3" i="5"/>
  <c r="F3" i="5"/>
  <c r="E3" i="5"/>
  <c r="D3" i="5"/>
  <c r="C3" i="5"/>
  <c r="B3" i="5"/>
  <c r="H2" i="5"/>
  <c r="G2" i="5"/>
  <c r="F2" i="5"/>
  <c r="E2" i="5"/>
  <c r="D2" i="5"/>
  <c r="C2" i="5"/>
  <c r="B2" i="5"/>
  <c r="B16" i="1"/>
  <c r="B23" i="1"/>
  <c r="B15" i="1"/>
  <c r="H14" i="1"/>
  <c r="B22" i="1"/>
  <c r="B14" i="1"/>
  <c r="H13" i="1"/>
  <c r="B21" i="1"/>
  <c r="B13" i="1"/>
  <c r="H12" i="1"/>
  <c r="B20" i="1"/>
  <c r="B12" i="1"/>
  <c r="H11" i="1"/>
  <c r="B19" i="1"/>
  <c r="B11" i="1"/>
  <c r="I8" i="1"/>
  <c r="H8" i="1"/>
  <c r="G8" i="1"/>
  <c r="F8" i="1"/>
  <c r="D8" i="1"/>
  <c r="C8" i="1"/>
  <c r="B8" i="1"/>
  <c r="A8" i="1"/>
  <c r="C29" i="5" l="1"/>
  <c r="E29" i="5"/>
  <c r="F29" i="5"/>
  <c r="D29" i="5"/>
  <c r="G29" i="5"/>
  <c r="H29" i="5"/>
  <c r="B29" i="5"/>
</calcChain>
</file>

<file path=xl/sharedStrings.xml><?xml version="1.0" encoding="utf-8"?>
<sst xmlns="http://schemas.openxmlformats.org/spreadsheetml/2006/main" count="1652" uniqueCount="525">
  <si>
    <t>Corte de consolidación</t>
  </si>
  <si>
    <t>31/08/2026</t>
  </si>
  <si>
    <t>ATI Alta / Crítica</t>
  </si>
  <si>
    <t>Nivel de afectación - Cementerios</t>
  </si>
  <si>
    <t>Cantidad</t>
  </si>
  <si>
    <t>Prioridad sanitaria - Cementerios</t>
  </si>
  <si>
    <t>Prioridad sanitaria - ATI</t>
  </si>
  <si>
    <t>Sin afectación</t>
  </si>
  <si>
    <t>Baja</t>
  </si>
  <si>
    <t>Leve</t>
  </si>
  <si>
    <t>Media</t>
  </si>
  <si>
    <t>Moderada</t>
  </si>
  <si>
    <t>Alta</t>
  </si>
  <si>
    <t>Grave</t>
  </si>
  <si>
    <t>Crítica</t>
  </si>
  <si>
    <t>No concluyente</t>
  </si>
  <si>
    <t>No consignado</t>
  </si>
  <si>
    <t>Criterio de lectura: la clasificación de afectación de cementerios se conserva como dato fuente. La 'prioridad sanitaria' es una clasificación operativa de seguimiento construida para este proyecto, considerando exposición de restos, bóvedas abiertas, riesgo de colapso, señalización/restricción, agua, residuos y otros hallazgos. En ATI se valoran por separado Locativo/EIS, Alimentos y Vectores; los vacíos se mantienen como 'No evaluado/No concluyente' y no se convierten en respuestas negativas.</t>
  </si>
  <si>
    <t>ID</t>
  </si>
  <si>
    <t>ARO</t>
  </si>
  <si>
    <t>Municipio</t>
  </si>
  <si>
    <t>Prioridad sanitaria</t>
  </si>
  <si>
    <t>N.º fotos</t>
  </si>
  <si>
    <t>Observaciones</t>
  </si>
  <si>
    <t>CEM-001</t>
  </si>
  <si>
    <t>Florida</t>
  </si>
  <si>
    <t>CEMENTERIO CIVIL IGLESIA UNION MISIONERA EVANGELICA COLOMBIANA</t>
  </si>
  <si>
    <t>NO</t>
  </si>
  <si>
    <t>SI</t>
  </si>
  <si>
    <t>CEM-002</t>
  </si>
  <si>
    <t>La Cumbre</t>
  </si>
  <si>
    <t>CEMENTERIO COMUNITARIO SAN JOSE PAVAS</t>
  </si>
  <si>
    <t>CEM-003</t>
  </si>
  <si>
    <t>Vijes</t>
  </si>
  <si>
    <t>CEMENTERIO CRISTO RESUCITADO</t>
  </si>
  <si>
    <t>CEM-004</t>
  </si>
  <si>
    <t>Guacari</t>
  </si>
  <si>
    <t>CEMENTERIO CRISTO REY</t>
  </si>
  <si>
    <t>CEM-005</t>
  </si>
  <si>
    <t>CEMENTERIO SAN ANTONIO DE PAUDA</t>
  </si>
  <si>
    <t>CEM-006</t>
  </si>
  <si>
    <t>El Cerrito</t>
  </si>
  <si>
    <t>CEMENTERIO SAN PEDRO APOSTOL SANTA ELENA</t>
  </si>
  <si>
    <t>CEM-007</t>
  </si>
  <si>
    <t>CEMENTERIO SAGRADO CORAZÓN DE JESUS</t>
  </si>
  <si>
    <t>CEM-008</t>
  </si>
  <si>
    <t>CEMENTERIO CENTRAL</t>
  </si>
  <si>
    <t>CEM-009</t>
  </si>
  <si>
    <t>CEMENTERIO COMUNITARIO DE PAZ BITACO</t>
  </si>
  <si>
    <t>CEM-010</t>
  </si>
  <si>
    <t>CEMENTARIO LOMITAS</t>
  </si>
  <si>
    <t>CEM-011</t>
  </si>
  <si>
    <t>CEMENTARIO CRISTIANO ENMANUEL</t>
  </si>
  <si>
    <t>CEM-012</t>
  </si>
  <si>
    <t>CEMENTERIO JARDINES DE LA PAZ  PUENTE PALO</t>
  </si>
  <si>
    <t>CEM-013</t>
  </si>
  <si>
    <t>Pradera</t>
  </si>
  <si>
    <t>CEM-014</t>
  </si>
  <si>
    <t>CEMENTERIO SAN ANTONIO DE PADUA-SAN ANTONIO DE LOS CABALLEROS</t>
  </si>
  <si>
    <t>CEM-015</t>
  </si>
  <si>
    <t>Ginebra</t>
  </si>
  <si>
    <t>CEMENTERIO PARROQUIAL NUESTRA SEÑORA DEL ROSARIO</t>
  </si>
  <si>
    <t>CEM-016</t>
  </si>
  <si>
    <t>CEMENTERIO CATOLICO COSTA RICA-GINEBRA</t>
  </si>
  <si>
    <t>CEM-017</t>
  </si>
  <si>
    <t>CEMENTERIO VILLA DE PAZ</t>
  </si>
  <si>
    <t>CEM-018</t>
  </si>
  <si>
    <t>Dagua</t>
  </si>
  <si>
    <t>CEMENTERIO EL PALMAR</t>
  </si>
  <si>
    <t>CEM-019</t>
  </si>
  <si>
    <t>CEMENTERIO LAS BRISAS</t>
  </si>
  <si>
    <t>CEM-020</t>
  </si>
  <si>
    <t>CEMENTERIO CAMPOSANTO CATOLICO - CORREGIMIENTO VILLA HERMOSA</t>
  </si>
  <si>
    <t>CEM-021</t>
  </si>
  <si>
    <t>CEMENTERIO EL POMO</t>
  </si>
  <si>
    <t>CEM-022</t>
  </si>
  <si>
    <t>CEMENTERIO DE LA PARROQUIA SAN ISIDRO LABRADOR</t>
  </si>
  <si>
    <t>CEM-023</t>
  </si>
  <si>
    <t>CEMENTERIO CATOLICO DEL QUEREMAL - PARROQUIA SAN JOSE DEL QUEREMAL - DAGUA</t>
  </si>
  <si>
    <t>CEM-024</t>
  </si>
  <si>
    <t>CEMENTERIO EL LIMONAR - DAGUA</t>
  </si>
  <si>
    <t>CEM-025</t>
  </si>
  <si>
    <t>CEMENTERIO SAN JOSE DEL SALADO - DAGUA</t>
  </si>
  <si>
    <t>CEM-026</t>
  </si>
  <si>
    <t>CEMENTERIO JUNTA ACCION COMUNAL CORREGIMIENTO EL CARMEN</t>
  </si>
  <si>
    <t>SI (YA FUERON REPARADOS)</t>
  </si>
  <si>
    <t>CEM-027</t>
  </si>
  <si>
    <t>Caicedonia</t>
  </si>
  <si>
    <t>CEM-028</t>
  </si>
  <si>
    <t>Bolívar</t>
  </si>
  <si>
    <t>CEM-029</t>
  </si>
  <si>
    <t>Calima</t>
  </si>
  <si>
    <t>CEM-030</t>
  </si>
  <si>
    <t>Zarzal</t>
  </si>
  <si>
    <t>CEM-031</t>
  </si>
  <si>
    <t>Sevilla</t>
  </si>
  <si>
    <t>CEM-032</t>
  </si>
  <si>
    <t>Yotoco</t>
  </si>
  <si>
    <t>CEM-033</t>
  </si>
  <si>
    <t>CEM-034</t>
  </si>
  <si>
    <t>Riofrío</t>
  </si>
  <si>
    <t>CEM-035</t>
  </si>
  <si>
    <t>CEM-036</t>
  </si>
  <si>
    <t>Obando</t>
  </si>
  <si>
    <t>CEM-037</t>
  </si>
  <si>
    <t>Versalles</t>
  </si>
  <si>
    <t>CEM-038</t>
  </si>
  <si>
    <t>Ulloa</t>
  </si>
  <si>
    <t>CEM-039</t>
  </si>
  <si>
    <t>La Victoria</t>
  </si>
  <si>
    <t>CEM-040</t>
  </si>
  <si>
    <t>El Dovio</t>
  </si>
  <si>
    <t>CEM-041</t>
  </si>
  <si>
    <t>Roldanillo</t>
  </si>
  <si>
    <t>CEM-042</t>
  </si>
  <si>
    <t>Alcalá</t>
  </si>
  <si>
    <t>CEM-043</t>
  </si>
  <si>
    <t>CEM-044</t>
  </si>
  <si>
    <t>Ansermanuevo</t>
  </si>
  <si>
    <t>CEM-045</t>
  </si>
  <si>
    <t>Toro</t>
  </si>
  <si>
    <t>CEM-046</t>
  </si>
  <si>
    <t>El Águila</t>
  </si>
  <si>
    <t>CEM-047</t>
  </si>
  <si>
    <t>La Unión</t>
  </si>
  <si>
    <t>CEM-048</t>
  </si>
  <si>
    <t>Restrepo</t>
  </si>
  <si>
    <t>CEM-049</t>
  </si>
  <si>
    <t>CEM-050</t>
  </si>
  <si>
    <t>Alojamiento temporal / ATI</t>
  </si>
  <si>
    <t>Estado operativo</t>
  </si>
  <si>
    <t>Última visita</t>
  </si>
  <si>
    <t>Población última</t>
  </si>
  <si>
    <t>Locativo/EIS - estado</t>
  </si>
  <si>
    <t>Locativo/EIS - prioridad</t>
  </si>
  <si>
    <t>Alimentos - estado</t>
  </si>
  <si>
    <t>Alimentos - prioridad</t>
  </si>
  <si>
    <t>Vectores - estado</t>
  </si>
  <si>
    <t>Vectores - prioridad</t>
  </si>
  <si>
    <t>Prioridad global</t>
  </si>
  <si>
    <t>Cobertura líneas %</t>
  </si>
  <si>
    <t>N.º visitas</t>
  </si>
  <si>
    <t>Agua / saneamiento</t>
  </si>
  <si>
    <t>Alimentos - observación</t>
  </si>
  <si>
    <t>Vectores - observación</t>
  </si>
  <si>
    <t>Fuente última</t>
  </si>
  <si>
    <t>ATI-001</t>
  </si>
  <si>
    <t>ATI-002</t>
  </si>
  <si>
    <t>ATI-003</t>
  </si>
  <si>
    <t>ATI-004</t>
  </si>
  <si>
    <t>ATI-005</t>
  </si>
  <si>
    <t>ATI-006</t>
  </si>
  <si>
    <t>ATI-007</t>
  </si>
  <si>
    <t>ATI-008</t>
  </si>
  <si>
    <t>ATI-009</t>
  </si>
  <si>
    <t>ATI-010</t>
  </si>
  <si>
    <t>ATI-011</t>
  </si>
  <si>
    <t>ATI-012</t>
  </si>
  <si>
    <t>ATI-013</t>
  </si>
  <si>
    <t>ATI-014</t>
  </si>
  <si>
    <t>ATI-015</t>
  </si>
  <si>
    <t>ATI-016</t>
  </si>
  <si>
    <t>ATI-017</t>
  </si>
  <si>
    <t>ATI-018</t>
  </si>
  <si>
    <t>ID visita</t>
  </si>
  <si>
    <t>ID ATI</t>
  </si>
  <si>
    <t>Establecimiento</t>
  </si>
  <si>
    <t>Fecha</t>
  </si>
  <si>
    <t>Población</t>
  </si>
  <si>
    <t>Mujeres</t>
  </si>
  <si>
    <t>Hombres</t>
  </si>
  <si>
    <t>Niños</t>
  </si>
  <si>
    <t>Niñas</t>
  </si>
  <si>
    <t>Agua disponible</t>
  </si>
  <si>
    <t>Fuente agua</t>
  </si>
  <si>
    <t>Sanitarios separados</t>
  </si>
  <si>
    <t>Baterías</t>
  </si>
  <si>
    <t>Animales</t>
  </si>
  <si>
    <t>Felinos</t>
  </si>
  <si>
    <t>Caninos</t>
  </si>
  <si>
    <t>Otros animales</t>
  </si>
  <si>
    <t>Agresiones animales</t>
  </si>
  <si>
    <t>Área prep. alimentos</t>
  </si>
  <si>
    <t>Área limpia</t>
  </si>
  <si>
    <t>Rotulado</t>
  </si>
  <si>
    <t>Evita contaminación cruzada</t>
  </si>
  <si>
    <t>Locativo estado</t>
  </si>
  <si>
    <t>Locativo prioridad</t>
  </si>
  <si>
    <t>Alimentos estado</t>
  </si>
  <si>
    <t>Alimentos prioridad</t>
  </si>
  <si>
    <t>Vectores estado</t>
  </si>
  <si>
    <t>Vectores prioridad</t>
  </si>
  <si>
    <t>Cobertura %</t>
  </si>
  <si>
    <t>Fuente</t>
  </si>
  <si>
    <t>Tipo fuente</t>
  </si>
  <si>
    <t>ATIV-001</t>
  </si>
  <si>
    <t>ACUAVALLE S.A. E.S.P.</t>
  </si>
  <si>
    <t>ATIV-002</t>
  </si>
  <si>
    <t>ATIV-003</t>
  </si>
  <si>
    <t>ATIV-004</t>
  </si>
  <si>
    <t>ATIV-005</t>
  </si>
  <si>
    <t>ATIV-006</t>
  </si>
  <si>
    <t>ATIV-007</t>
  </si>
  <si>
    <t>ATIV-008</t>
  </si>
  <si>
    <t>ATIV-009</t>
  </si>
  <si>
    <t>ATIV-010</t>
  </si>
  <si>
    <t>ATIV-011</t>
  </si>
  <si>
    <t>ATIV-012</t>
  </si>
  <si>
    <t>ATIV-013</t>
  </si>
  <si>
    <t>ATIV-014</t>
  </si>
  <si>
    <t>ATIV-015</t>
  </si>
  <si>
    <t>ATIV-016</t>
  </si>
  <si>
    <t>ATIV-017</t>
  </si>
  <si>
    <t>ATIV-018</t>
  </si>
  <si>
    <t>SD</t>
  </si>
  <si>
    <t>ATIV-019</t>
  </si>
  <si>
    <t>Cementerios</t>
  </si>
  <si>
    <t>ATI Alta/Crítica</t>
  </si>
  <si>
    <t>Catálogo</t>
  </si>
  <si>
    <t>Valor</t>
  </si>
  <si>
    <t>Definición operativa</t>
  </si>
  <si>
    <t>Nivel afectación fuente - cementerios</t>
  </si>
  <si>
    <t>Sin afectación / Leve / Moderada / Grave / Crítica</t>
  </si>
  <si>
    <t>Se conserva el valor consignado por la fuente; se normaliza solo su escritura.</t>
  </si>
  <si>
    <t>Seguimiento rutinario; sin señal de alarma sanitaria inmediata.</t>
  </si>
  <si>
    <t>Requiere seguimiento/acción correctiva por afectación o condición sanitaria localizada.</t>
  </si>
  <si>
    <t>Requiere intervención prioritaria por exposición, riesgo de colapso, afectación grave o condición sanitaria relevante.</t>
  </si>
  <si>
    <t>Atención inmediata por combinación de exposición de restos, bóvedas abiertas, riesgo mayor/no controlado o clasificación crítica de fuente.</t>
  </si>
  <si>
    <t>Información insuficiente para clasificar.</t>
  </si>
  <si>
    <t>ATI - líneas</t>
  </si>
  <si>
    <t>Locativo/EIS</t>
  </si>
  <si>
    <t>Infraestructura, agua, excretas/aguas residuales, sanitarios, residuos e higiene locativa.</t>
  </si>
  <si>
    <t>Alimentos</t>
  </si>
  <si>
    <t>Lugar y forma de preparación/suministro, higiene, rotulado, conservación y contaminación cruzada.</t>
  </si>
  <si>
    <t>Vectores</t>
  </si>
  <si>
    <t>Vectores/roedores, condiciones favorecedoras, animales y riesgos zoonóticos.</t>
  </si>
  <si>
    <t>Regla ATI</t>
  </si>
  <si>
    <t>Corresponde al peor componente evaluado; la cobertura indica si faltan líneas por documentar.</t>
  </si>
  <si>
    <t>ARO NORTE - CARTAGO</t>
  </si>
  <si>
    <t>ANSERMANUEVO</t>
  </si>
  <si>
    <t>ALCALDÍA MUNICIPAL DE ANSERMANUEVO</t>
  </si>
  <si>
    <t>OCUPADO AL MOMENTO DE LA VISITA</t>
  </si>
  <si>
    <t>SIN HALLAZGOS RELEVANTES</t>
  </si>
  <si>
    <t>BAJA</t>
  </si>
  <si>
    <t>SÍ | ALCANTARILLADO MUNICIPAL | BATERÍAS: 6</t>
  </si>
  <si>
    <t>ÁREA DE PREPARACIÓN EVALUADA SIN HALLAZGO CRÍTICO DOCUMENTADO.</t>
  </si>
  <si>
    <t>SIN AGRESIONES ANIMALES NI PRESENCIA DE PLAGAS/ROEDORES DOCUMENTADA.</t>
  </si>
  <si>
    <t>POBLACIÓN APROXIMADA Y VARIABLES SANITARIAS TRANSCRITAS DE LISTA DE CHEQUEO DIRECTA DEL 21/08.</t>
  </si>
  <si>
    <t>ALBERGUE TEMPORAL ALCALDIA MUNICIPAL, MUNICIPIO ANSERMANUEVO.21-08-2026.PDF</t>
  </si>
  <si>
    <t>PARQUE RECREACIONAL</t>
  </si>
  <si>
    <t>HABILITADO SIN OCUPACIÓN AL REGISTRO</t>
  </si>
  <si>
    <t>NO EVALUADO</t>
  </si>
  <si>
    <t>NO CONCLUYENTE</t>
  </si>
  <si>
    <t>NO DOCUMENTADO |  | BATERÍAS:</t>
  </si>
  <si>
    <t>SIN INFORMACIÓN SUFICIENTE SOBRE PREPARACIÓN/MANIPULACIÓN DE ALIMENTOS.</t>
  </si>
  <si>
    <t>SIN INFORMACIÓN SUFICIENTE SOBRE VECTORES/ZOONOSIS.</t>
  </si>
  <si>
    <t>EL MUNICIPIO REGISTRÓ SEGUIMIENTO POSTERIOR EN ALCALDÍA MUNICIPAL.</t>
  </si>
  <si>
    <t>REGISTRO EIS / CARPETA MUNICIPAL ANSERMANUEVO</t>
  </si>
  <si>
    <t>ARO CENTRO - TULUÁ</t>
  </si>
  <si>
    <t>CAICEDONIA</t>
  </si>
  <si>
    <t>COLISEO CIC - CAICEDONIA</t>
  </si>
  <si>
    <t>SI |  | BATERÍAS: 2</t>
  </si>
  <si>
    <t>ALBERGA A PERSONAS, LA ALIMENTACIÓN ES SUMINISTRADA POR LA ALCALDÍA, DESARROLLO SOCIAL, A TRAVÉS DEL ANCIANATO. FUNCIONA EN EL COLISEO CIC, TIENE AGUA POTABLE Y RECOLECCIÓN DE RESIDUOS</t>
  </si>
  <si>
    <t>REGISTRO DE ESTADO SANITARIO DE ESTABLECIMIENTOS.XLSX</t>
  </si>
  <si>
    <t>CALIMA</t>
  </si>
  <si>
    <t>CIC - CENTRO DE INTEGRACIÓN CIUDADANA</t>
  </si>
  <si>
    <t>HALLAZGO RELEVANTE</t>
  </si>
  <si>
    <t>ALTA</t>
  </si>
  <si>
    <t>SI |  | BATERÍAS: 6</t>
  </si>
  <si>
    <t>SE DOCUMENTA AUSENCIA DE LAVADO DE MANOS DURANTE EL MANEJO/PREPARACIÓN.</t>
  </si>
  <si>
    <t>ELEMENTOS DE PROTECCIÓN PERSONAL INCOMPLETOS Y  NO SE REALIZA LAVADO DE MANOS</t>
  </si>
  <si>
    <t>EL ÁGUILA</t>
  </si>
  <si>
    <t>COLEGIO PARROQUIAL EL ÁGUILA</t>
  </si>
  <si>
    <t>SIN PREPARACIÓN EN SITIO</t>
  </si>
  <si>
    <t>SÍ | ALCANTARILLADO | BATERÍAS: 4</t>
  </si>
  <si>
    <t>LOS ALIMENTOS SE PREPARAN FUERA DEL ALOJAMIENTO O NO EXISTE PREPARACIÓN EN SITIO.</t>
  </si>
  <si>
    <t>DATOS TRANSCRITOS DE LISTA DE CHEQUEO DIRECTA. DISTRIBUCIÓN POR SEXO/EDAD TOMADA DE LECTURA VISUAL DEL FORMATO.</t>
  </si>
  <si>
    <t>ALBERGUE TEMPORAL COLEGIO PARROQUIAL, MUNICIPIO DEL AGUILA.18-08-2026.PDF</t>
  </si>
  <si>
    <t>LA UNIÓN</t>
  </si>
  <si>
    <t>COLISEO ANGELINO GARZÓN</t>
  </si>
  <si>
    <t>LOS INSUMOS PARA LIMPIEZA Y DESINFECCIÓN LOS TRAEN DESDE LA ALCALDÍA Y NO SE ALMACENAN EN EL LUGAR.
LOS ALIMENTOS SON SUMINISTRADOS YA PREPARADOS EMPACADOS EN DESECHABLES Y SE DISTRIBUYEN PARA SU INMEDIATO CONSUMO</t>
  </si>
  <si>
    <t>LA VICTORIA</t>
  </si>
  <si>
    <t>COLISEO CIC - VILLA MARIANA</t>
  </si>
  <si>
    <t>SI |  | BATERÍAS: 4</t>
  </si>
  <si>
    <t>LOS ALIMENTOS SON PREPARADOS Y SUMINISTRADOS POR LA ALCALDÍA A TRAVÉS DE RESTAURANTE EN RECIPIENTES DE ICOPOR</t>
  </si>
  <si>
    <t>OBANDO</t>
  </si>
  <si>
    <t>CASETA COMUNAL - PUERTO MOLINA</t>
  </si>
  <si>
    <t>LA FUENTE NO DOCUMENTA LAS TRES LÍNEAS SANITARIAS CON DETALLE.</t>
  </si>
  <si>
    <t>INFORME AREAS OPERATIVAS-EIS -REGISTRO FOTOGRAFICO AGOSTO 24-2026.DOCX</t>
  </si>
  <si>
    <t>CENTRO DE PENSAMIENTO INFANTIL</t>
  </si>
  <si>
    <t>HABILITADO SIN OCUPACIÓN DOCUMENTADA.</t>
  </si>
  <si>
    <t>INFORME AREAS OPERATIVAS-EIS -REGISTRO FOTOGRAFICO AGOSTO 24-2026.DOCX + REGISTRO EIS</t>
  </si>
  <si>
    <t>RESTREPO</t>
  </si>
  <si>
    <t>VIVIENDA ACONDICIONADA DETRÁS DEL COLISEO MUNICIPAL</t>
  </si>
  <si>
    <t>ESTADO OPERATIVO NO CONCLUYENTE</t>
  </si>
  <si>
    <t>CON INFORMACIÓN PARCIAL</t>
  </si>
  <si>
    <t>MEDIA</t>
  </si>
  <si>
    <t>CON OBSERVACIONES</t>
  </si>
  <si>
    <t>SI |  | BATERÍAS: 5</t>
  </si>
  <si>
    <t>INFORMACIÓN PARCIAL DE ALIMENTOS; REQUIERE VERIFICACIÓN COMPLEMENTARIA.</t>
  </si>
  <si>
    <t>SE DOCUMENTAN 6 ANIMALES EN EL ALOJAMIENTO; REQUIERE VIGILANCIA ZOONÓTICA.</t>
  </si>
  <si>
    <t>RIOFRÍO</t>
  </si>
  <si>
    <t>I.E. NEMESIO RODRÍGUEZ ESCOBAR - SEDE PRINCIPAL (FENICIA)</t>
  </si>
  <si>
    <t>SI |  | BATERÍAS: SIN DATO</t>
  </si>
  <si>
    <t>SE DOCUMENTAN 4 ANIMALES EN EL ALOJAMIENTO; REQUIERE VIGILANCIA ZOONÓTICA.</t>
  </si>
  <si>
    <t>ROLDANILLO</t>
  </si>
  <si>
    <t>COLISEO IVÁN MUÑOZ VILLA</t>
  </si>
  <si>
    <t>TRASLADADO POR RIESGO/AFECTACIÓN</t>
  </si>
  <si>
    <t>NO |  | BATERÍAS: 2</t>
  </si>
  <si>
    <t>LOS ALIMENTOS SON PREPARADOS Y SUMINISTRADOS POR LA ALCALDÍA A TRAVÉS DE RESTAURANTE EN RECIPIENTES DE ICOPOR.
EL DÍA DE LA VISITA, HABÍAN 32 PERSONAS EN EL COLISEO, ESTOS FUERON REUBICADOS A UNA INSTITUCIÓN EDUCATIVA POR RIESGO Y A LA FECHA DE HOY 13 DE AGOSTO, YA SON MAS DE 100 PERSONAS</t>
  </si>
  <si>
    <t>COLISEO NUESTRA SEÑORA DE CHIQUINQUIRÁ</t>
  </si>
  <si>
    <t>SITIO DE SEGUIMIENTO POSTERIOR A REUBICACIÓN</t>
  </si>
  <si>
    <t>SIN DATO</t>
  </si>
  <si>
    <t>SÍ | ALCANTARILLADO; 10 BATERÍAS SANITARIAS (4 HOMBRES, 6 MUJERES). | BATERÍAS: 10</t>
  </si>
  <si>
    <t>INFORMACIÓN DIRECTA DE LISTA DE CHEQUEO DEL 20/08; POBLACIÓN TOTAL NO SE TRANSCRIBE POR BAJA LEGIBILIDAD.</t>
  </si>
  <si>
    <t>ALBERGUE TEMPORAL COLISEO SEÑORA CHINQUINQUIRA, MUNICIPIO ROLDANILLO.20-08-2026.PDF</t>
  </si>
  <si>
    <t>SEVILLA</t>
  </si>
  <si>
    <t>ALOJAMIENTO TEMPORAL MUNICIPAL DE SEVILLA</t>
  </si>
  <si>
    <t>SI |  | BATERÍAS: 12</t>
  </si>
  <si>
    <t>ÁREA DE ENTREGA DE ALIMENTOS IMPROVISADA; REQUIERE CONTROL HIGIÉNICO.</t>
  </si>
  <si>
    <t>EL ÁREA DE ENTREGA DE ALIMENTOS SE ENCUENTRA IMPROVISADA CON MESAS, GRADAS, ALIMENTOS DE CONSUMO INMEDIATO, ENTREGADOS EN RECIPIENTES DESECHABLES, NO HAY PREPARACIÓN DE ALIMENTOS. LA RECOLECCIÓN DE LOS RESIDUOS SE HACE A TRAVÉS DE IDEAS S.A E.S.P</t>
  </si>
  <si>
    <t>VERSALLES</t>
  </si>
  <si>
    <t>COLISEO CUBIERTO MARÍA ISABEL CRUZ</t>
  </si>
  <si>
    <t>USO INTERMITENTE / PERNOCTA</t>
  </si>
  <si>
    <t>SI - INTERMITENTE |  | BATERÍAS: 9</t>
  </si>
  <si>
    <t>EL SUMINISTRO DE AGUA POTABLE ES INTERMITENTE, LAS PERSONAS NO PERMANECEN EN EL LUGAR Y VARÍA EL NÚMERO DE PERSONAS, EL LUGAR LO UTILIZAN PARA PERNOCTAR.
LOS ALIMENTOS SON SUMINISTRADOS POR LA COMUNIDAD.</t>
  </si>
  <si>
    <t>YOTOCO</t>
  </si>
  <si>
    <t>COLISEO POLIDEPORTIVO ZAWADSKI</t>
  </si>
  <si>
    <t>SI |  | BATERÍAS: 3</t>
  </si>
  <si>
    <t>LOS ALIMENTOS SON PREPARADOS EN EL CENTRO VIDA Y SE ENTREGAN DE INMEDIATO EN EL ALBERGUE</t>
  </si>
  <si>
    <t>ZARZAL</t>
  </si>
  <si>
    <t>ESTADIO MUNICIPAL DE ZARZAL</t>
  </si>
  <si>
    <t>SI | SI | BATERÍAS: SD</t>
  </si>
  <si>
    <t>LOS ALIMENTOS SON LLEVADOS YA PREPARADOS AL ALBERGUE. ESTE ALBERGUE FUE  TRASLADO DE LA SECRETARIA DE SALUD AL ESTADIO</t>
  </si>
  <si>
    <t>PRIMER PISO DIRECCIÓN LOCAL DE SALUD</t>
  </si>
  <si>
    <t>SI |  | BATERÍAS:</t>
  </si>
  <si>
    <t>NO SE DOCUMENTAN ANIMALES DOMÉSTICOS; SIN HALLAZGO VECTORIAL REPORTADO.</t>
  </si>
  <si>
    <t>CEMENTERIOS</t>
  </si>
  <si>
    <t xml:space="preserve">ALOJAMIENTOS TEMPORALES </t>
  </si>
  <si>
    <t>Cementerios 
consolidados</t>
  </si>
  <si>
    <t>Cementerios Prioridad
Alta - Critico</t>
  </si>
  <si>
    <t xml:space="preserve">ATI </t>
  </si>
  <si>
    <t>Vigilancia sanitaria  - Alojamientos Temporales  y Cementerios</t>
  </si>
  <si>
    <t>ARO SUR - CALI</t>
  </si>
  <si>
    <t>FLORIDA</t>
  </si>
  <si>
    <t>SIN AFECTACIÓN</t>
  </si>
  <si>
    <t>CUADRO CEMENTERIOS TOTALES-21082026.XLSX</t>
  </si>
  <si>
    <t>EXCEL RESUMEN</t>
  </si>
  <si>
    <t>LA CUMBRE</t>
  </si>
  <si>
    <t>MODERADA</t>
  </si>
  <si>
    <t>VIJES</t>
  </si>
  <si>
    <t>GUACARI</t>
  </si>
  <si>
    <t>EL CERRITO</t>
  </si>
  <si>
    <t>LEVE</t>
  </si>
  <si>
    <t>GRAVE</t>
  </si>
  <si>
    <t>CRÍTICA</t>
  </si>
  <si>
    <t>PRADERA</t>
  </si>
  <si>
    <t>GINEBRA</t>
  </si>
  <si>
    <t>DAGUA</t>
  </si>
  <si>
    <t>CEMENTERIO LOCAL DE CAICEDONIA</t>
  </si>
  <si>
    <t>SI, ZONA DE OSARIOS CON RESTOS EXPUESTOS</t>
  </si>
  <si>
    <t>PARED INTERIOR DE OSARIOS</t>
  </si>
  <si>
    <t>SI, EXPOSICIÓN DE RESTOS EN ALGUNOS OSARIOS QUE SUFRIERON DAÑOS</t>
  </si>
  <si>
    <t>SE VERIFICÓ CONDICIONES HIGIÉNICO SANITARIAS Y  LOCATIVAS EVIDENCIANDO LO SGUIENTE:
DAÑO ESTRUCTURAL EN PARED POSTERIOR Y TEJAS.
ALGUNAS GRIETAS NE PAREDES Y TECHOS.
SE CAYÓ UNA PARED CON OSARIOS LOS CUALES QUEDARON EXPUESTOS POR RESTOS, EL ARREGLO SE REALIZARÁ EL 17 DE AGOSTO.
SUMINISTRO DE AGUA NORMAL</t>
  </si>
  <si>
    <t>BOLÍVAR</t>
  </si>
  <si>
    <t>CEMENTERIO CENTRAL SANTA ANA</t>
  </si>
  <si>
    <t>SI, EN LA CAPILLA</t>
  </si>
  <si>
    <t>SE PRESENTÓ EXPOSICIÓN DE  2 BÓVEDAS Y 31 OSARIOS, SIN EMBARGO, EN EL MOMENTO DE LA VISITA, SE HABÍA REALIZADO LOS ARREGLOS RESPECTIVOS</t>
  </si>
  <si>
    <t>CEMENTERIO JARDÍN DE LA VIDA</t>
  </si>
  <si>
    <t>SI, 2 LÁPIDAS DE SEPULTURAS AGRIETADAS DE FORMA SUPERFICIAL</t>
  </si>
  <si>
    <t>LAS AFECTACIONES FUERON LA CAPILLA Y EN LA ESTRUCTURA DE LA ANTÍGUA ENTRADA, POR LO QUE SE ENCUENTRAN SEÑALIZADAS E INHABILITADAS</t>
  </si>
  <si>
    <t>SI, AFECTACIÓN EN TECHO DE LA CAPILLA (DESPRENDIMIENTO DE MATERIAL Y TEJAS CAÍDAS Y DAÑO EN LA ESTRUCTURA DE LA ANTÍGUA ENTRADA, AMBAS INHABILITADAS)</t>
  </si>
  <si>
    <t>CEMENTERIO CATÓLICO MUNICIPAL</t>
  </si>
  <si>
    <t>SI, EN LA ENTRADA AL ESTABLECIMIENTO Y LA PARED COLINDANTE CON EL BATALLÓN</t>
  </si>
  <si>
    <t>SI, LÁPIDAS DETERIORADAS SIN EXPOSICIÓN ÓSEA</t>
  </si>
  <si>
    <t>SI, EN LA ENTRADA AL ESTABLECIMIENTO Y PARED QUE COLINDA CON EL BATALLÓN. GRIETA EN LA PARTE LATERAL</t>
  </si>
  <si>
    <t>CEMENTERIO CATÓLICO SAN LUIS GONZAGA</t>
  </si>
  <si>
    <t>SI, BÓVEDAS Y MUROS</t>
  </si>
  <si>
    <t>NO MENCIONA</t>
  </si>
  <si>
    <t>SI, HAY EXPOSICIÓN DE RESTOS DE LAS BÓVEDAS</t>
  </si>
  <si>
    <t>SE OBSERVA EN LA PARTE FRONTAL DEL CEMENTERIO, MUROS CAÍDOS QUE AFECTAN BÓVEDAS, LINDERO CON PARQUEADERO DONDE CAEN LOS RESTOS DE LAS BÓVEDAS, PARTE TRASERA Y PARTE SUR TAMBIÉN CON CAÍDA DE MUROS. AFECTACIÓN DE 35 BÓVEDAS</t>
  </si>
  <si>
    <t>CEMENTERIO PARROQUIA INMACULADA CONCEPCIÓN</t>
  </si>
  <si>
    <t>SI, EL ÁREA DE LA CAPILLA</t>
  </si>
  <si>
    <t>SI, SE EVIDENCIA MURO EN ÁREA DE CAPILLA CON RIESGO DE DESPRENDIMIENTO, CERRAMIENTO AGRIETADO</t>
  </si>
  <si>
    <t>NO, LAS GRIETAS Y EL ÁREA DE LA CAPILLA SON LAS AFECTADAS</t>
  </si>
  <si>
    <t>SE EVIDENCIA MURO EN ÁREA DE CAPILLA CON RIESGO DE DESPRENDIMIENTO, CERRAMIENTO AGRIETADO, ÁREA DELIMITADA CON CINTA AMARILLA PERO NO ESTÁ DELIMITADA EL ÁREA DE CAPILLA, INGRESO DE PÚBLICO RESTRINGIDO PERO EL SERVICIO DE INHUMACIÓN SE SIGUE PRESTANDO, VÍAS INTERNAS CON INGRESO SEGURO, HAY MUROS Y PISOS AGRIETADOS, SOLO AGRIETAMIENTOS PARCIALES EN EL ÁREA DE BÓVEDAS</t>
  </si>
  <si>
    <t>CEMENTERIO CIVIL YOTOCO</t>
  </si>
  <si>
    <t>NO HAY SUMINISTRO</t>
  </si>
  <si>
    <t>NO SE PRESENTARON PERSONAS LESIONADAS, LOS SERVICIOS DE INHUMACIÓN FUERON SUSPENDIDOS DESDE LA PANDEMIA, , NO SE EVIDENCIAN ESTRUCTURAS CON RIESGO DE DESPRENDIMIENTO, NO REQUIERE SEÑALIZACIÓN, LAS VÍAS INTERNAS SON EN TIERRA Y NO PRESENTAN NOVEDADES,  NO HAY DAÑOS ESTRUCTURALES EN MUROS  NI CUBIERTAS, NO HAY ÁREA DE BÓVEDAS, NO HAY EXPOSICIÓN DE ATAÚDES NI RESTOS HUMANOS, NO HAY SUMINISTRO DE AGUA POTABLE, EL PISO ES EN TIERRA Y TIENE MALEZA , EL ASEO ES MENSUAL E INADECUADO,</t>
  </si>
  <si>
    <t>CEMENTERIO SANTA MARÍA MAGDALENA</t>
  </si>
  <si>
    <t>SI, ES DE POZO PROFUNDO</t>
  </si>
  <si>
    <t>CEMENTERIO LA SANTÍSIMA TRINIDAD/SAN MIGUEL</t>
  </si>
  <si>
    <t>SOLO HAY UNA LÁPIDA DE BÓVEDA DESPRENDIDA PERO AL PARECER ES POR EL DESGASTE, COMO CONSECUENCIA DEL SISMO</t>
  </si>
  <si>
    <t>NO TIENE SUMINISTRO DE AGUA</t>
  </si>
  <si>
    <t>NO SE EVIDENCIA ÁREA PARA EL ALMACENAMIENTO DE LOS RESIDUOS</t>
  </si>
  <si>
    <t>CEMENTERIO SAN JOSÉ</t>
  </si>
  <si>
    <t>SI, EN EL TECHO DE LA CAPILLA</t>
  </si>
  <si>
    <t>SI, ESTRUCTURALES EN EL TECHO DE LA CAPILLA</t>
  </si>
  <si>
    <t>CEMENTERIO MUNICIPAL CATÓLICO DE VERSALLES</t>
  </si>
  <si>
    <t>SI, EL ÁREA DE OSARIOS</t>
  </si>
  <si>
    <t>SI, EN LA PARTE INFERIOR DE  UNOS DE LOS BLOQUE</t>
  </si>
  <si>
    <t>SI, HAY EXPOSICIÓN DE  RESTOS HUMANOS</t>
  </si>
  <si>
    <t>SI, ESTRUCTURA DE LOS OSARIOS, GRIETAS, COLAPSO PARCIAL DE LA PARTE INFERIOR DE UNO DE LOS BLOQUES, DESPRENDIMIENTO DE TAPAS Y ELEMENTOS ESTRUCTURALES EN OTROS SECTORES DEJANDO RESTOS EXPUESTOS</t>
  </si>
  <si>
    <t>ULLOA</t>
  </si>
  <si>
    <t>CEMENTERIO SAN JOSÉ DE ULLOA</t>
  </si>
  <si>
    <t>SI, EL ÁREA DE BÓVEDAS</t>
  </si>
  <si>
    <t>SI, DE ATAUDES</t>
  </si>
  <si>
    <t>SI, LAS COLUMNAS SE ENCUENTRAN EN RIESGO DE COLAPSO</t>
  </si>
  <si>
    <t>SÍ, SE GENERARON GRIETAS EN BÓVEDAS, CAÍDA DE TAPAS CON LÁPIDAS, MUSOLEO CON DETERIORO DEBIDO A QUE UNA DE LAS PAREDES PRESENTA GRIETAS. SE EVIDENCIA APERTURA DE TAPAS DE LAS BÓVEDAS QUE PERMITEN VER EL COFRE PERO NO LOS RESTOS, LAS COLUMNAS SE ENCUENTRAN FISURADAS Y CON PESO DE LA PARTE SUPERIOR PUEDEN COLAPSAR.</t>
  </si>
  <si>
    <t>SE GENERARON GRIETAS EN BÓVEDAS, CAÍDA DE TAPAS CON LÁPIDAS, MUSOLEO CON DETERIORO DEBIDO A QUE UNA DE LAS PAREDES PRESENTA GRIETAS. SE EVIDENCIA APERTURA DE TAPAS DE LAS BÓVEDAS QUE PERMITEN VER EL COFRE PERO NO LOS RESTOS, LAS COLUMNAS SE ENCUENTRAN FISURADAS Y CON PESO DE LA PARTE SUPERIOR PUEDEN COLAPSAR.</t>
  </si>
  <si>
    <t>CEMENTERIO CATÓLICO SAN JOSÉ</t>
  </si>
  <si>
    <t>SI, PAREA DE BÓVEDAS Y CAPILLA</t>
  </si>
  <si>
    <t>SI, DESPRENDIMIENTO DE ALGUNAS TEJAS DE LA CUBIERTA SOBRE LAS BÓVEDAS Y PRESENCIA DE FISURAS VISIBLES EN ÁREA DE CAPILLA</t>
  </si>
  <si>
    <t>EL DOVIO</t>
  </si>
  <si>
    <t>CEMENTERIO CATÓLICO CASA DE PAZ</t>
  </si>
  <si>
    <t>RESTRINGIR EL ÁREA DE BÓVEDAS AFECTADAS</t>
  </si>
  <si>
    <t>SI, PÉRDIDA PARCIAL DE CUBIERTA EN LAS BÓVEDAS</t>
  </si>
  <si>
    <t>SI, SE PRESENTARON GRIETAS ESTRUCTURALES EN BÓVEDAS Y PERDIDA PARCIAL DE SUS CUBIERTAS.</t>
  </si>
  <si>
    <t>SE PRESENTARON GRIETAS ESTRUCTURALES EN BÓVEDAS Y PERDIDA PARCIAL DE SUS CUBIERTAS.</t>
  </si>
  <si>
    <t>CEMENTERIO CATÓLICO LAS PALMAS</t>
  </si>
  <si>
    <t>SI, DEBE RESTRINGIRSE EL INGRESO AL CEMENTERIO</t>
  </si>
  <si>
    <t>SI, BÓVEDAS, OSARIOS Y MURO PERIMETRAL</t>
  </si>
  <si>
    <t>SI, LAS BÓVEDAS Y OSARIOS, PRESENTAN RESTOS HUMANOS EXPUESTOS</t>
  </si>
  <si>
    <t>SE EVIDENCIAN BÓVEDAS Y OSARIOS ABIERTOS CON EXPOSICIÓN DE RESTOS HUMANOS, SITUACIÓN QUE REQUIERE ATENCIÓN INMEDIATA DESDE EL PUNTO DE VISTA SANITARIO. SE OBSERVA PERDIDA DEL CERRAMIENTO PERIMETRAL DEL CEMENTERIO, COLAPSO DE PARTE DE SU ESTRUCTURA. SE CONSTATÓ QUE NO RESTINGIERON LA ENTRADA, PERMITIERON EL INGRESO DE PERSONAS PESE A LAS CONDICIONES ENCONTRADAS.</t>
  </si>
  <si>
    <t>ALCALÁ</t>
  </si>
  <si>
    <t>CEMENTERIO CATÓLICO SAN MIGUEL ARCÁNGEL</t>
  </si>
  <si>
    <t>SÍ, ÁREA DE BÓVEDAS Y OSARIOS</t>
  </si>
  <si>
    <t>SE OBSERVAN BÓVEDAS Y OSARIOS DETERIORADOS, CUBIERTAS AFECTADAS Y LÁPIDAS FRACTURADAS, ACUMULACIÓN DE ESCOMBROS EN DIFERENTES ÁREAS DEL CEMENTERIO</t>
  </si>
  <si>
    <t>SI, SE OBSERVAN BÓVEDAS Y OSARIOS DETERIORADOS, CUBIERTAS AFECTADAS Y LÁPIDAS FRACTURADAS, ACUMULACIÓN DE ESCOMBROS EN DIFERENTES ÁREAS DEL CEMENTERIO, EVIDENCIANDOSE PRESENCIA DE RESTOS ÓSEOS ENTRE ELLOS Y DENTRO DE BOLSAS, LAS CUALES SON RECOLECTADAS POR EL SEPULTURERO SIN IDENTIFICAR A QUIEN CORRESPONDEN.</t>
  </si>
  <si>
    <t>SE OBSERVAN BÓVEDAS Y OSARIOS DETERIORADOS, CUBIERTAS AFECTADAS Y LÁPIDAS FRACTURADAS, ACUMULACIÓN DE ESCOMBROS EN DIFERENTES ÁREAS DEL CEMENTERIO, EVIDENCIANDOSE PRESENCIA DE RESTOS ÓSEOS ENTRE ELLOS Y DENTRO DE BOLSAS, LAS CUALES SON RECOLECTADAS POR EL SEPULTURERO SIN IDENTIFICAR A QUIEN CORRESPONDEN.</t>
  </si>
  <si>
    <t>CEMENTERIO CATÓLICO DE CAJAMARCA</t>
  </si>
  <si>
    <t>SI, LA CUBIERTA DE LA CAPILLA</t>
  </si>
  <si>
    <t>SI, LA CAPILLA TUVO DESPRENDIMIENTO DE TEJAS EN LA CUBIERTA</t>
  </si>
  <si>
    <t>SI, CAPILLA CON DESPRENDIMIENTO DE TEJAS DE LA CUBIERTA</t>
  </si>
  <si>
    <t>CEMENTERIO CENTRAL DIOCESANO DE ANSERMANUEVO</t>
  </si>
  <si>
    <t>DAÑO ESTRUCTURAL AL INGRESO AL CEMENTERIO ASÍ COMO EN PARTE DEL MURO PERIMETRAL</t>
  </si>
  <si>
    <t>TORO</t>
  </si>
  <si>
    <t>CEMENTERIO NUESTRA SEÑORA DEL CARMEN</t>
  </si>
  <si>
    <t>RESTRINGIR EL PASO POR EL ANDEN DEL LADO SUR DEL CEMENTERIO POR LA CARRERA 4</t>
  </si>
  <si>
    <t>SI, EL CERRAMIENTO PERIMETRAL</t>
  </si>
  <si>
    <t>PAREDES DE CERRAMIENTO CAÍDAS Y GRIETAS EN FACHADA, NO HAY PERSONAS LESIONADAS</t>
  </si>
  <si>
    <t>CEMENTERIO LOCAL EL ÁGUILA</t>
  </si>
  <si>
    <t>CEMENTERIO PÚBLICO MUNICIPAL SAN MIGUEL ARCÁNGEL</t>
  </si>
  <si>
    <t>NO CONSIGNADO</t>
  </si>
  <si>
    <t>SE REQUIERE CONTROL DE ZONAS DE PELIGRO Y RESTRICCIÓN OPERACIONAL.</t>
  </si>
  <si>
    <t>SÍ. SE OBSERVARON RESTOS ÓSEOS Y PEQUEÑOS ATAÚDES; RESTOS EN BOLSAS PLÁSTICAS NEGRAS.</t>
  </si>
  <si>
    <t>SÍ. MUROS CON RIESGO DE COLAPSO Y DESMORONAMIENTO.</t>
  </si>
  <si>
    <t>SÍ. TAPAS/LÁPIDAS DESPRENDIDAS Y OSARIOS/BÓVEDAS EXPUESTOS.</t>
  </si>
  <si>
    <t>NO FUNCIONA NORMALMENTE; RESTRICCIÓN/INTERMITENCIA.</t>
  </si>
  <si>
    <t>RECOLECCIÓN DE RESIDUOS PELIGROSOS REALIZADA EN DÍAS PREVIOS.</t>
  </si>
  <si>
    <t>SÍ. DESMORONAMIENTO, EXPOSICIÓN DE RESTOS ÓSEOS EN BOLSAS Y AUMENTO DE HUMEDAD/POLVO/TIERRA.</t>
  </si>
  <si>
    <t>SÍ. DAÑOS EN PUERTA DE INGRESO, COLUMNAS, CAPILLA, TORRE DE OSARIOS Y MURO POSTERIOR.</t>
  </si>
  <si>
    <t>FUENTE DIRECTA DE CARPETA MUNICIPAL Y REGISTRO DE PREGUNTAS DEL CEMENTERIO. NO CONSIGNA NIVEL DE AFECTACIÓN EN ESCALA.</t>
  </si>
  <si>
    <t>PREGUNTAS CEMENTERIO PUBLICO MUNICIPAL DE LA AUNION VALLE (SAN MIGUEL ARCANGEL).PDF</t>
  </si>
  <si>
    <t>CARPETA MUNICIPAL / LISTA DE CHEQUEO</t>
  </si>
  <si>
    <t>CEMENTERIO PARROQUIA NUESTRA SEÑORA DEL CARMEN</t>
  </si>
  <si>
    <t>SÍ. RESTRINGIR TRÁNSITO POR EL ÁREA INMEDIATA AL MURO DE FACHADA.</t>
  </si>
  <si>
    <t>NO.</t>
  </si>
  <si>
    <t>SÍ. MURO DE FACHADA DEL CERRAMIENTO.</t>
  </si>
  <si>
    <t>BÓVEDAS ABIERTAS POR ESTAR DESOCUPADAS; NO SE EVIDENCIAN BÓVEDAS EN USO CON TAPAS/LÁPIDAS DESPRENDIDAS.</t>
  </si>
  <si>
    <t>SUMINISTRO EN CONDICIONES NORMALES.</t>
  </si>
  <si>
    <t>RECOLECCIÓN Y DISPOSICIÓN ADECUADA.</t>
  </si>
  <si>
    <t>NO SE EVIDENCIA CONDICIÓN INMEDIATA; REQUIERE RESTRINGIR TRÁNSITO JUNTO AL MURO.</t>
  </si>
  <si>
    <t>SÍ. MURO DE FACHADA CON RIESGO DE DESPRENDIMIENTO/COLAPSO.</t>
  </si>
  <si>
    <t>ACTA DIRECTA DE CARPETA MUNICIPAL.</t>
  </si>
  <si>
    <t>WHATSAPP SCAN 21 DE AGOSTO DE 2026 AT 18.56.42.PDF</t>
  </si>
  <si>
    <t>CARPETA MUNICIPAL / ACTA</t>
  </si>
  <si>
    <t>FUNDACIÓN CEMENTERIO REMANSO DE BELLA VISTA</t>
  </si>
  <si>
    <t>SE REQUIERE RESTRINGIR TRÁNSITO POR CAPILLA Y ZONA CON AFECTACIÓN.</t>
  </si>
  <si>
    <t>SÍ. CAPILLA Y TECHO EN ZONA DE SEPULTURA.</t>
  </si>
  <si>
    <t>NO APLICA.</t>
  </si>
  <si>
    <t>SUMINISTRO POR GRIFO.</t>
  </si>
  <si>
    <t>MANEJO INADECUADO: ESCOMBROS, ZONA VERDE ENMONTADA.</t>
  </si>
  <si>
    <t>SÍ. MANEJO DE RESIDUOS Y VEGETACIÓN PUEDE FAVORECER VECTORES.</t>
  </si>
  <si>
    <t>SÍ. COLAPSO DE MUROS EN CAPILLA, PARTE DE TECHO EN ZONA DE SEPULTURAS Y GRIETAS EN TERRENO.</t>
  </si>
  <si>
    <t>ACTA DIRECTA; EL INFORME FOTOGRÁFICO TAMBIÉN REGISTRA EL SITIO.</t>
  </si>
  <si>
    <t>WHATSAPP SCAN 25 DE AGOSTO DE 2026 AT 12.50.32.PDF</t>
  </si>
  <si>
    <t>CEMENTERIO VEREDA SAN ANTONIO DE PIEDRAS</t>
  </si>
  <si>
    <t>NO SE REGISTRA RESTRICCIÓN.</t>
  </si>
  <si>
    <t>NO SE EVIDENCIA SUMINISTRO DE AGUA.</t>
  </si>
  <si>
    <t>ZONA VERDE ENMONTADA Y ACUMULACIÓN DE HOJARASCA/MATERIAL ORGÁNICO.</t>
  </si>
  <si>
    <t>LA VEGETACIÓN Y MATERIA ORGÁNICA PUEDEN PERMITIR ANIDAMIENTO DE VECTORES; CONDICIÓN NO ATRIBUIDA AL SISMO.</t>
  </si>
  <si>
    <t>NO SE EVIDENCIAN AFECTACIONES ESTRUCTURALES RELACIONADAS CON EL SISMO.</t>
  </si>
  <si>
    <t>ACTA DIRECTA. NIVEL DE AFECTACIÓN CONSIGNADO: SIN AFECTACIÓN.</t>
  </si>
  <si>
    <t>WHATSAPP SCAN 25 DE AGOSTO DE 2026 AT 21.05.47.PDF</t>
  </si>
  <si>
    <t>MUNICIPIO</t>
  </si>
  <si>
    <t>FECHA VISITA</t>
  </si>
  <si>
    <t>CEMENTERIO</t>
  </si>
  <si>
    <t>NIVEL AFECTACIÓN FUENTE</t>
  </si>
  <si>
    <t>PRIORIDAD SANITARIA</t>
  </si>
  <si>
    <t>RESTRICCIÓN/CIERRE</t>
  </si>
  <si>
    <t>EXPOSICIÓN RESTOS</t>
  </si>
  <si>
    <t>RIESGO COLAPSO</t>
  </si>
  <si>
    <t>BÓVEDAS ABIERTAS</t>
  </si>
  <si>
    <t>AGUA</t>
  </si>
  <si>
    <t>GESTIÓN RESIDUOS</t>
  </si>
  <si>
    <t>CONDICIÓN SALUD PÚBLICA</t>
  </si>
  <si>
    <t>COMPLETITUD %</t>
  </si>
  <si>
    <t>N.º FOTOS</t>
  </si>
  <si>
    <t>DAÑOS/HALLAZGOS PRINCIPALES</t>
  </si>
  <si>
    <t>OBSERVACIONES</t>
  </si>
  <si>
    <t>FUENTE PRINCIPAL</t>
  </si>
  <si>
    <t>TIPO DE FUENTE</t>
  </si>
  <si>
    <t>SÍ</t>
  </si>
  <si>
    <t>NO DOCUMENTADO</t>
  </si>
  <si>
    <t>BASE EIS / CARPETA MUNICIPAL</t>
  </si>
  <si>
    <t>ACUAVALLE</t>
  </si>
  <si>
    <t>BASE EIS UESVALLE</t>
  </si>
  <si>
    <t>CUENTA CON ENERGIA ´POR MEDIO DE UNA PLANTA ELECTRICA.</t>
  </si>
  <si>
    <t>EMCALIMA</t>
  </si>
  <si>
    <t>RED LOCAL / SUMINISTRO CONTINUO CONSIGNADO EN LISTA DE CHEQUEO</t>
  </si>
  <si>
    <t>NO APLICA</t>
  </si>
  <si>
    <t>INFORME UESVALLE / CARPETA MUNICIPAL</t>
  </si>
  <si>
    <t>INFORME UESVALLE / BASE EIS</t>
  </si>
  <si>
    <t>ACUEDUCTO</t>
  </si>
  <si>
    <t>ACUAFENICIA</t>
  </si>
  <si>
    <t>ACUAVALLE-SARABRUT</t>
  </si>
  <si>
    <t>ACUEDUCTO / SARABRUT CONSIGNADO EN FORMATO</t>
  </si>
  <si>
    <t>ACUEDUCTO MUNICIPAL</t>
  </si>
  <si>
    <t>SI - INTERMITENTE</t>
  </si>
  <si>
    <t>Cementerio con restricción</t>
  </si>
  <si>
    <t>Cementerio Alta/Crítica</t>
  </si>
  <si>
    <t>Alojamiento Temporal</t>
  </si>
  <si>
    <t>ATI 
No concluyente</t>
  </si>
  <si>
    <t>ATI
Población  documentada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</si>
</sst>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rlito"/>
    </font>
    <font>
      <b/>
      <sz val="16"/>
      <color rgb="FFFFFFFF"/>
      <name val="Carlito"/>
    </font>
    <font>
      <b/>
      <sz val="11"/>
      <color rgb="FF12364A"/>
      <name val="Carlito"/>
    </font>
    <font>
      <sz val="11"/>
      <color rgb="FF12364A"/>
      <name val="Carlito"/>
    </font>
    <font>
      <b/>
      <sz val="18"/>
      <color rgb="FF005A8B"/>
      <name val="Carlito"/>
    </font>
    <font>
      <b/>
      <sz val="11"/>
      <color rgb="FFFFFFFF"/>
      <name val="Carlito"/>
    </font>
    <font>
      <b/>
      <sz val="11"/>
      <name val="Carlito"/>
      <family val="2"/>
    </font>
    <font>
      <b/>
      <sz val="11"/>
      <color rgb="FFFFFFFF"/>
      <name val="Arial"/>
      <family val="2"/>
    </font>
    <font>
      <sz val="11"/>
      <name val="Arial"/>
      <family val="2"/>
    </font>
    <font>
      <b/>
      <sz val="10"/>
      <color rgb="FFFFFFFF"/>
      <name val="Arial"/>
      <family val="2"/>
    </font>
    <font>
      <sz val="10"/>
      <name val="Arial"/>
      <family val="2"/>
    </font>
    <font>
      <b/>
      <sz val="11"/>
      <color rgb="FF12364A"/>
      <name val="Carlito"/>
      <family val="2"/>
    </font>
    <font>
      <b/>
      <sz val="14"/>
      <color rgb="FFFFFFFF"/>
      <name val="Carlito"/>
      <family val="2"/>
    </font>
    <font>
      <b/>
      <sz val="11"/>
      <color rgb="FFFFFFFF"/>
      <name val="Carlito"/>
      <family val="2"/>
    </font>
  </fonts>
  <fills count="13">
    <fill>
      <patternFill patternType="none"/>
    </fill>
    <fill>
      <patternFill patternType="gray125"/>
    </fill>
    <fill>
      <patternFill patternType="solid">
        <fgColor rgb="FF005A8B"/>
      </patternFill>
    </fill>
    <fill>
      <patternFill patternType="solid">
        <fgColor rgb="FFEAF3F7"/>
      </patternFill>
    </fill>
    <fill>
      <patternFill patternType="solid">
        <fgColor rgb="FFFFFFFF"/>
      </patternFill>
    </fill>
    <fill>
      <patternFill patternType="solid">
        <fgColor rgb="FF12364A"/>
      </patternFill>
    </fill>
    <fill>
      <patternFill patternType="solid">
        <fgColor rgb="FFFFF8E7"/>
      </patternFill>
    </fill>
    <fill>
      <patternFill patternType="solid">
        <fgColor theme="5" tint="0.59999389629810485"/>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theme="2" tint="-0.249977111117893"/>
        <bgColor indexed="64"/>
      </patternFill>
    </fill>
  </fills>
  <borders count="13">
    <border>
      <left/>
      <right/>
      <top/>
      <bottom/>
      <diagonal/>
    </border>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2">
    <xf numFmtId="0" fontId="0" fillId="0" borderId="0" xfId="0"/>
    <xf numFmtId="0" fontId="2" fillId="3" borderId="0" xfId="0" applyFont="1" applyFill="1" applyAlignment="1">
      <alignment wrapText="1"/>
    </xf>
    <xf numFmtId="0" fontId="0" fillId="0" borderId="0" xfId="0" applyAlignment="1">
      <alignment wrapText="1"/>
    </xf>
    <xf numFmtId="0" fontId="5" fillId="5" borderId="0" xfId="0" applyFont="1" applyFill="1" applyAlignment="1">
      <alignment wrapText="1"/>
    </xf>
    <xf numFmtId="0" fontId="5" fillId="5" borderId="0" xfId="0" applyFont="1" applyFill="1" applyAlignment="1">
      <alignment horizontal="center" wrapText="1"/>
    </xf>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5" fillId="2" borderId="0" xfId="0" applyFont="1" applyFill="1"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7" fillId="2" borderId="0" xfId="0" applyFont="1" applyFill="1" applyAlignment="1">
      <alignment horizontal="center" wrapText="1"/>
    </xf>
    <xf numFmtId="0" fontId="8" fillId="0" borderId="0" xfId="0" applyFont="1"/>
    <xf numFmtId="0" fontId="8" fillId="0" borderId="0" xfId="0" applyFont="1" applyAlignment="1">
      <alignment wrapText="1"/>
    </xf>
    <xf numFmtId="0" fontId="10" fillId="0" borderId="0" xfId="0" applyFont="1"/>
    <xf numFmtId="0" fontId="10" fillId="0" borderId="0" xfId="0" applyFont="1" applyAlignment="1">
      <alignment wrapText="1"/>
    </xf>
    <xf numFmtId="1" fontId="8" fillId="0" borderId="0" xfId="0" applyNumberFormat="1" applyFont="1" applyAlignment="1">
      <alignment wrapText="1"/>
    </xf>
    <xf numFmtId="14" fontId="10" fillId="0" borderId="0" xfId="0" applyNumberFormat="1" applyFont="1" applyAlignment="1">
      <alignment wrapText="1"/>
    </xf>
    <xf numFmtId="0" fontId="0" fillId="0" borderId="0" xfId="0" applyAlignment="1">
      <alignment horizontal="center" wrapText="1"/>
    </xf>
    <xf numFmtId="0" fontId="6" fillId="7" borderId="0" xfId="0" applyFont="1" applyFill="1" applyAlignment="1">
      <alignment horizontal="center"/>
    </xf>
    <xf numFmtId="0" fontId="5" fillId="5" borderId="0" xfId="0" applyFont="1" applyFill="1" applyAlignment="1">
      <alignment horizontal="center" vertical="center" wrapText="1"/>
    </xf>
    <xf numFmtId="0" fontId="0" fillId="0" borderId="3" xfId="0" applyBorder="1" applyAlignment="1">
      <alignment horizontal="center" wrapText="1"/>
    </xf>
    <xf numFmtId="0" fontId="0" fillId="0" borderId="9" xfId="0" applyBorder="1" applyAlignment="1">
      <alignment horizontal="center" wrapText="1"/>
    </xf>
    <xf numFmtId="0" fontId="0" fillId="0" borderId="5" xfId="0"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4" xfId="0" applyBorder="1" applyAlignment="1">
      <alignment wrapText="1"/>
    </xf>
    <xf numFmtId="0" fontId="0" fillId="0" borderId="5" xfId="0" applyBorder="1" applyAlignment="1">
      <alignment wrapText="1"/>
    </xf>
    <xf numFmtId="0" fontId="9" fillId="2" borderId="0" xfId="0" applyFont="1" applyFill="1" applyAlignment="1">
      <alignment horizontal="center" vertical="center" wrapText="1"/>
    </xf>
    <xf numFmtId="0" fontId="10" fillId="0" borderId="0" xfId="0" applyFont="1" applyAlignment="1">
      <alignment vertical="center"/>
    </xf>
    <xf numFmtId="0" fontId="8" fillId="0" borderId="0" xfId="0" applyFont="1" applyAlignment="1">
      <alignment horizontal="center" wrapText="1"/>
    </xf>
    <xf numFmtId="0" fontId="8" fillId="0" borderId="0" xfId="0" applyFont="1" applyAlignment="1">
      <alignment horizontal="center"/>
    </xf>
    <xf numFmtId="14" fontId="8" fillId="0" borderId="0" xfId="0" applyNumberFormat="1" applyFont="1" applyAlignment="1">
      <alignment horizontal="center" wrapText="1"/>
    </xf>
    <xf numFmtId="0" fontId="0" fillId="9" borderId="0" xfId="0" applyFill="1" applyAlignment="1">
      <alignment horizontal="center" vertical="center" wrapText="1"/>
    </xf>
    <xf numFmtId="0" fontId="5" fillId="10" borderId="0" xfId="0" applyFont="1" applyFill="1" applyAlignment="1">
      <alignment horizontal="center" vertical="center" wrapText="1"/>
    </xf>
    <xf numFmtId="0" fontId="5" fillId="11" borderId="0" xfId="0" applyFont="1" applyFill="1" applyAlignment="1">
      <alignment horizontal="center" vertical="center" wrapText="1"/>
    </xf>
    <xf numFmtId="14" fontId="0" fillId="0" borderId="0" xfId="0" applyNumberFormat="1" applyAlignment="1">
      <alignment wrapText="1"/>
    </xf>
    <xf numFmtId="0" fontId="13" fillId="11" borderId="0" xfId="0" applyFont="1" applyFill="1" applyAlignment="1">
      <alignment horizontal="center" vertical="center" wrapText="1"/>
    </xf>
    <xf numFmtId="0" fontId="13" fillId="10" borderId="0" xfId="0" applyFont="1" applyFill="1" applyAlignment="1">
      <alignment horizontal="center" vertical="center" wrapText="1"/>
    </xf>
    <xf numFmtId="0" fontId="0" fillId="12" borderId="0" xfId="0" applyFill="1"/>
    <xf numFmtId="0" fontId="0" fillId="12" borderId="0" xfId="0" applyFill="1" applyAlignment="1">
      <alignment horizontal="center" vertical="center" wrapText="1"/>
    </xf>
    <xf numFmtId="0" fontId="0" fillId="0" borderId="8" xfId="0" applyBorder="1" applyAlignment="1">
      <alignment horizontal="center" wrapText="1"/>
    </xf>
    <xf numFmtId="0" fontId="0" fillId="0" borderId="1"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2" fillId="3" borderId="0" xfId="0" applyFont="1" applyFill="1" applyAlignment="1">
      <alignment horizontal="center" wrapText="1"/>
    </xf>
    <xf numFmtId="0" fontId="3" fillId="6" borderId="0" xfId="0" applyFont="1" applyFill="1" applyAlignment="1">
      <alignment horizontal="center" vertical="top" wrapText="1"/>
    </xf>
    <xf numFmtId="0" fontId="12" fillId="2" borderId="0" xfId="0" applyFont="1" applyFill="1" applyAlignment="1">
      <alignment horizontal="center" vertical="center" wrapText="1"/>
    </xf>
    <xf numFmtId="0" fontId="1" fillId="2" borderId="0" xfId="0" applyFont="1" applyFill="1" applyAlignment="1">
      <alignment horizontal="center" vertical="center" wrapText="1"/>
    </xf>
    <xf numFmtId="0" fontId="11"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2" fillId="3" borderId="12" xfId="0" applyFont="1" applyFill="1" applyBorder="1" applyAlignment="1">
      <alignment horizontal="center" vertical="center" wrapText="1"/>
    </xf>
    <xf numFmtId="0" fontId="4" fillId="4" borderId="7" xfId="0" applyFont="1" applyFill="1" applyBorder="1" applyAlignment="1">
      <alignment horizontal="center" vertical="center"/>
    </xf>
    <xf numFmtId="0" fontId="6" fillId="7" borderId="0" xfId="0" applyFont="1" applyFill="1" applyAlignment="1">
      <alignment horizontal="center"/>
    </xf>
    <xf numFmtId="0" fontId="6" fillId="8" borderId="0" xfId="0" applyFont="1" applyFill="1" applyAlignment="1">
      <alignment horizontal="center"/>
    </xf>
    <xf numFmtId="0" fontId="2" fillId="3" borderId="0" xfId="0" applyFont="1" applyFill="1" applyAlignment="1">
      <alignment horizontal="left" wrapText="1"/>
    </xf>
    <xf numFmtId="0" fontId="5" fillId="5" borderId="1" xfId="0" applyFont="1" applyFill="1" applyBorder="1" applyAlignment="1">
      <alignment horizontal="center" wrapText="1"/>
    </xf>
    <xf numFmtId="0" fontId="0" fillId="0" borderId="2" xfId="0" applyBorder="1" applyAlignment="1">
      <alignment horizontal="center" wrapText="1"/>
    </xf>
    <xf numFmtId="0" fontId="0" fillId="0" borderId="6" xfId="0" applyBorder="1" applyAlignment="1">
      <alignment horizontal="center" wrapText="1"/>
    </xf>
  </cellXfs>
  <cellStyles count="1">
    <cellStyle name="Normal" xfId="0" builtinId="0"/>
  </cellStyles>
  <dxfs count="102">
    <dxf>
      <font>
        <b/>
      </font>
      <fill>
        <patternFill patternType="solid">
          <bgColor rgb="FFD9D9D9"/>
        </patternFill>
      </fill>
    </dxf>
    <dxf>
      <font>
        <b/>
      </font>
      <fill>
        <patternFill patternType="solid">
          <bgColor rgb="FFD9EAD3"/>
        </patternFill>
      </fill>
    </dxf>
    <dxf>
      <font>
        <b/>
      </font>
      <fill>
        <patternFill patternType="solid">
          <bgColor rgb="FFFFF2CC"/>
        </patternFill>
      </fill>
    </dxf>
    <dxf>
      <font>
        <b/>
      </font>
      <fill>
        <patternFill patternType="solid">
          <bgColor rgb="FFFCE5CD"/>
        </patternFill>
      </fill>
    </dxf>
    <dxf>
      <font>
        <b/>
      </font>
      <fill>
        <patternFill patternType="solid">
          <bgColor rgb="FFF4CCCC"/>
        </patternFill>
      </fill>
    </dxf>
    <dxf>
      <font>
        <b/>
      </font>
      <fill>
        <patternFill patternType="solid">
          <bgColor rgb="FFD9D9D9"/>
        </patternFill>
      </fill>
    </dxf>
    <dxf>
      <font>
        <b/>
      </font>
      <fill>
        <patternFill patternType="solid">
          <bgColor rgb="FFD9EAD3"/>
        </patternFill>
      </fill>
    </dxf>
    <dxf>
      <font>
        <b/>
      </font>
      <fill>
        <patternFill patternType="solid">
          <bgColor rgb="FFFFF2CC"/>
        </patternFill>
      </fill>
    </dxf>
    <dxf>
      <font>
        <b/>
      </font>
      <fill>
        <patternFill patternType="solid">
          <bgColor rgb="FFFCE5CD"/>
        </patternFill>
      </fill>
    </dxf>
    <dxf>
      <font>
        <b/>
      </font>
      <fill>
        <patternFill patternType="solid">
          <bgColor rgb="FFF4CCCC"/>
        </patternFill>
      </fill>
    </dxf>
    <dxf>
      <fill>
        <patternFill patternType="solid">
          <fgColor indexed="64"/>
          <bgColor theme="2" tint="-0.249977111117893"/>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2" tint="-0.249977111117893"/>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2" tint="-0.249977111117893"/>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2" tint="-0.249977111117893"/>
        </patternFill>
      </fill>
      <alignment horizontal="center" vertical="center" textRotation="0" wrapText="1" indent="0" justifyLastLine="0" shrinkToFit="0" readingOrder="0"/>
    </dxf>
    <dxf>
      <fill>
        <patternFill patternType="solid">
          <fgColor indexed="64"/>
          <bgColor theme="2" tint="-9.9978637043366805E-2"/>
        </patternFill>
      </fill>
      <alignment horizontal="center" vertical="center" textRotation="0" wrapText="1" indent="0" justifyLastLine="0" shrinkToFit="0" readingOrder="0"/>
    </dxf>
    <dxf>
      <fill>
        <patternFill patternType="solid">
          <fgColor indexed="64"/>
          <bgColor theme="2" tint="-0.249977111117893"/>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2" tint="-0.249977111117893"/>
        </patternFill>
      </fill>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2" tint="-0.249977111117893"/>
        </patternFill>
      </fill>
      <alignment horizontal="center" vertical="center" textRotation="0" wrapText="1" indent="0" justifyLastLine="0" shrinkToFit="0" readingOrder="0"/>
    </dxf>
    <dxf>
      <fill>
        <patternFill patternType="solid">
          <fgColor indexed="64"/>
          <bgColor theme="2" tint="-9.9978637043366805E-2"/>
        </patternFill>
      </fill>
      <alignment horizontal="center" vertical="center" textRotation="0" wrapText="1" indent="0" justifyLastLine="0" shrinkToFit="0" readingOrder="0"/>
    </dxf>
    <dxf>
      <fill>
        <patternFill patternType="solid">
          <fgColor indexed="64"/>
          <bgColor theme="2" tint="-0.249977111117893"/>
        </patternFill>
      </fill>
    </dxf>
    <dxf>
      <fill>
        <patternFill patternType="solid">
          <fgColor indexed="64"/>
          <bgColor theme="2" tint="-0.249977111117893"/>
        </patternFill>
      </fill>
    </dxf>
    <dxf>
      <alignment vertical="center" textRotation="0" indent="0" justifyLastLine="0" shrinkToFit="0" readingOrder="0"/>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dxf>
    <dxf>
      <font>
        <strike val="0"/>
        <outline val="0"/>
        <shadow val="0"/>
        <u val="none"/>
        <vertAlign val="baseline"/>
        <sz val="10"/>
        <name val="Arial"/>
        <family val="2"/>
        <scheme val="none"/>
      </font>
      <alignment vertical="center" textRotation="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alignment horizontal="center" vertical="bottom" textRotation="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alignment horizontal="center" vertical="bottom" textRotation="0" indent="0" justifyLastLine="0" shrinkToFit="0" readingOrder="0"/>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s>
  <tableStyles count="0" defaultTableStyle="TableStyleLight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ementeriosTable" displayName="CementeriosTable" ref="A1:T51" totalsRowShown="0" headerRowDxfId="72" dataDxfId="71">
  <autoFilter ref="A1:T51" xr:uid="{00000000-000C-0000-FFFF-FFFF00000000}"/>
  <tableColumns count="20">
    <tableColumn id="1" xr3:uid="{00000000-0010-0000-0000-000001000000}" name="ID" dataDxfId="70"/>
    <tableColumn id="2" xr3:uid="{00000000-0010-0000-0000-000002000000}" name="ARO" dataDxfId="69"/>
    <tableColumn id="3" xr3:uid="{00000000-0010-0000-0000-000003000000}" name="MUNICIPIO" dataDxfId="68"/>
    <tableColumn id="4" xr3:uid="{00000000-0010-0000-0000-000004000000}" name="FECHA VISITA" dataDxfId="67"/>
    <tableColumn id="5" xr3:uid="{00000000-0010-0000-0000-000005000000}" name="CEMENTERIO" dataDxfId="66"/>
    <tableColumn id="6" xr3:uid="{00000000-0010-0000-0000-000006000000}" name="NIVEL AFECTACIÓN FUENTE" dataDxfId="65"/>
    <tableColumn id="7" xr3:uid="{00000000-0010-0000-0000-000007000000}" name="PRIORIDAD SANITARIA" dataDxfId="64"/>
    <tableColumn id="8" xr3:uid="{00000000-0010-0000-0000-000008000000}" name="RESTRICCIÓN/CIERRE" dataDxfId="63"/>
    <tableColumn id="9" xr3:uid="{00000000-0010-0000-0000-000009000000}" name="EXPOSICIÓN RESTOS" dataDxfId="62"/>
    <tableColumn id="10" xr3:uid="{00000000-0010-0000-0000-00000A000000}" name="RIESGO COLAPSO" dataDxfId="61"/>
    <tableColumn id="11" xr3:uid="{00000000-0010-0000-0000-00000B000000}" name="BÓVEDAS ABIERTAS" dataDxfId="60"/>
    <tableColumn id="12" xr3:uid="{00000000-0010-0000-0000-00000C000000}" name="AGUA" dataDxfId="59"/>
    <tableColumn id="13" xr3:uid="{00000000-0010-0000-0000-00000D000000}" name="GESTIÓN RESIDUOS" dataDxfId="58"/>
    <tableColumn id="14" xr3:uid="{00000000-0010-0000-0000-00000E000000}" name="CONDICIÓN SALUD PÚBLICA" dataDxfId="57"/>
    <tableColumn id="15" xr3:uid="{00000000-0010-0000-0000-00000F000000}" name="COMPLETITUD %" dataDxfId="56"/>
    <tableColumn id="16" xr3:uid="{00000000-0010-0000-0000-000010000000}" name="N.º FOTOS" dataDxfId="55"/>
    <tableColumn id="17" xr3:uid="{00000000-0010-0000-0000-000011000000}" name="DAÑOS/HALLAZGOS PRINCIPALES" dataDxfId="54"/>
    <tableColumn id="18" xr3:uid="{00000000-0010-0000-0000-000012000000}" name="OBSERVACIONES" dataDxfId="53"/>
    <tableColumn id="19" xr3:uid="{00000000-0010-0000-0000-000013000000}" name="FUENTE PRINCIPAL" dataDxfId="52"/>
    <tableColumn id="20" xr3:uid="{00000000-0010-0000-0000-000014000000}" name="TIPO DE FUENTE" dataDxfId="51"/>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TIEstablecimientosTable" displayName="ATIEstablecimientosTable" ref="A1:V19" totalsRowShown="0" headerRowDxfId="50" dataDxfId="49">
  <autoFilter ref="A1:V19" xr:uid="{00000000-000C-0000-FFFF-FFFF01000000}"/>
  <tableColumns count="22">
    <tableColumn id="1" xr3:uid="{00000000-0010-0000-0100-000001000000}" name="ID" dataDxfId="48"/>
    <tableColumn id="2" xr3:uid="{00000000-0010-0000-0100-000002000000}" name="ARO" dataDxfId="47"/>
    <tableColumn id="3" xr3:uid="{00000000-0010-0000-0100-000003000000}" name="Municipio" dataDxfId="46"/>
    <tableColumn id="4" xr3:uid="{00000000-0010-0000-0100-000004000000}" name="Alojamiento temporal / ATI" dataDxfId="45"/>
    <tableColumn id="5" xr3:uid="{00000000-0010-0000-0100-000005000000}" name="Estado operativo" dataDxfId="44"/>
    <tableColumn id="6" xr3:uid="{00000000-0010-0000-0100-000006000000}" name="Última visita" dataDxfId="43"/>
    <tableColumn id="7" xr3:uid="{00000000-0010-0000-0100-000007000000}" name="Población última" dataDxfId="42"/>
    <tableColumn id="8" xr3:uid="{00000000-0010-0000-0100-000008000000}" name="Locativo/EIS - estado" dataDxfId="41"/>
    <tableColumn id="9" xr3:uid="{00000000-0010-0000-0100-000009000000}" name="Locativo/EIS - prioridad" dataDxfId="40"/>
    <tableColumn id="10" xr3:uid="{00000000-0010-0000-0100-00000A000000}" name="Alimentos - estado" dataDxfId="39"/>
    <tableColumn id="11" xr3:uid="{00000000-0010-0000-0100-00000B000000}" name="Alimentos - prioridad" dataDxfId="38"/>
    <tableColumn id="12" xr3:uid="{00000000-0010-0000-0100-00000C000000}" name="Vectores - estado" dataDxfId="37"/>
    <tableColumn id="13" xr3:uid="{00000000-0010-0000-0100-00000D000000}" name="Vectores - prioridad" dataDxfId="36"/>
    <tableColumn id="14" xr3:uid="{00000000-0010-0000-0100-00000E000000}" name="Prioridad global" dataDxfId="35"/>
    <tableColumn id="15" xr3:uid="{00000000-0010-0000-0100-00000F000000}" name="Cobertura líneas %" dataDxfId="34"/>
    <tableColumn id="16" xr3:uid="{00000000-0010-0000-0100-000010000000}" name="N.º visitas" dataDxfId="33"/>
    <tableColumn id="17" xr3:uid="{00000000-0010-0000-0100-000011000000}" name="N.º fotos" dataDxfId="32"/>
    <tableColumn id="18" xr3:uid="{00000000-0010-0000-0100-000012000000}" name="Agua / saneamiento" dataDxfId="31"/>
    <tableColumn id="19" xr3:uid="{00000000-0010-0000-0100-000013000000}" name="Alimentos - observación" dataDxfId="30"/>
    <tableColumn id="20" xr3:uid="{00000000-0010-0000-0100-000014000000}" name="Vectores - observación" dataDxfId="29"/>
    <tableColumn id="21" xr3:uid="{00000000-0010-0000-0100-000015000000}" name="Observaciones" dataDxfId="28"/>
    <tableColumn id="22" xr3:uid="{00000000-0010-0000-0100-000016000000}" name="Fuente última" dataDxfId="27"/>
  </tableColumns>
  <tableStyleInfo name="TableStyleLight9"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TIVisitasTable" displayName="ATIVisitasTable" ref="A1:AI20" totalsRowShown="0">
  <autoFilter ref="A1:AI20" xr:uid="{00000000-000C-0000-FFFF-FFFF02000000}"/>
  <tableColumns count="35">
    <tableColumn id="1" xr3:uid="{00000000-0010-0000-0200-000001000000}" name="ID visita"/>
    <tableColumn id="2" xr3:uid="{00000000-0010-0000-0200-000002000000}" name="ID ATI"/>
    <tableColumn id="3" xr3:uid="{00000000-0010-0000-0200-000003000000}" name="ARO"/>
    <tableColumn id="4" xr3:uid="{00000000-0010-0000-0200-000004000000}" name="Municipio"/>
    <tableColumn id="5" xr3:uid="{00000000-0010-0000-0200-000005000000}" name="Establecimiento"/>
    <tableColumn id="6" xr3:uid="{00000000-0010-0000-0200-000006000000}" name="Fecha"/>
    <tableColumn id="7" xr3:uid="{00000000-0010-0000-0200-000007000000}" name="Población" dataDxfId="101"/>
    <tableColumn id="8" xr3:uid="{00000000-0010-0000-0200-000008000000}" name="Mujeres" dataDxfId="100"/>
    <tableColumn id="9" xr3:uid="{00000000-0010-0000-0200-000009000000}" name="Hombres" dataDxfId="99"/>
    <tableColumn id="10" xr3:uid="{00000000-0010-0000-0200-00000A000000}" name="Niños" dataDxfId="98"/>
    <tableColumn id="11" xr3:uid="{00000000-0010-0000-0200-00000B000000}" name="Niñas" dataDxfId="97"/>
    <tableColumn id="12" xr3:uid="{00000000-0010-0000-0200-00000C000000}" name="Agua disponible" dataDxfId="96"/>
    <tableColumn id="13" xr3:uid="{00000000-0010-0000-0200-00000D000000}" name="Fuente agua" dataDxfId="95"/>
    <tableColumn id="14" xr3:uid="{00000000-0010-0000-0200-00000E000000}" name="Sanitarios separados" dataDxfId="94"/>
    <tableColumn id="15" xr3:uid="{00000000-0010-0000-0200-00000F000000}" name="Baterías" dataDxfId="93"/>
    <tableColumn id="16" xr3:uid="{00000000-0010-0000-0200-000010000000}" name="Animales" dataDxfId="92"/>
    <tableColumn id="17" xr3:uid="{00000000-0010-0000-0200-000011000000}" name="Felinos" dataDxfId="91"/>
    <tableColumn id="18" xr3:uid="{00000000-0010-0000-0200-000012000000}" name="Caninos" dataDxfId="90"/>
    <tableColumn id="19" xr3:uid="{00000000-0010-0000-0200-000013000000}" name="Otros animales" dataDxfId="89"/>
    <tableColumn id="20" xr3:uid="{00000000-0010-0000-0200-000014000000}" name="Agresiones animales" dataDxfId="88"/>
    <tableColumn id="21" xr3:uid="{00000000-0010-0000-0200-000015000000}" name="Área prep. alimentos" dataDxfId="87"/>
    <tableColumn id="22" xr3:uid="{00000000-0010-0000-0200-000016000000}" name="Área limpia" dataDxfId="86"/>
    <tableColumn id="23" xr3:uid="{00000000-0010-0000-0200-000017000000}" name="Rotulado" dataDxfId="85"/>
    <tableColumn id="24" xr3:uid="{00000000-0010-0000-0200-000018000000}" name="Evita contaminación cruzada" dataDxfId="84"/>
    <tableColumn id="25" xr3:uid="{00000000-0010-0000-0200-000019000000}" name="Locativo estado" dataDxfId="83"/>
    <tableColumn id="26" xr3:uid="{00000000-0010-0000-0200-00001A000000}" name="Locativo prioridad" dataDxfId="82"/>
    <tableColumn id="27" xr3:uid="{00000000-0010-0000-0200-00001B000000}" name="Alimentos estado" dataDxfId="81"/>
    <tableColumn id="28" xr3:uid="{00000000-0010-0000-0200-00001C000000}" name="Alimentos prioridad" dataDxfId="80"/>
    <tableColumn id="29" xr3:uid="{00000000-0010-0000-0200-00001D000000}" name="Vectores estado" dataDxfId="79"/>
    <tableColumn id="30" xr3:uid="{00000000-0010-0000-0200-00001E000000}" name="Vectores prioridad" dataDxfId="78"/>
    <tableColumn id="31" xr3:uid="{00000000-0010-0000-0200-00001F000000}" name="Prioridad global" dataDxfId="77"/>
    <tableColumn id="32" xr3:uid="{00000000-0010-0000-0200-000020000000}" name="Cobertura %" dataDxfId="76"/>
    <tableColumn id="33" xr3:uid="{00000000-0010-0000-0200-000021000000}" name="Observaciones" dataDxfId="75"/>
    <tableColumn id="34" xr3:uid="{00000000-0010-0000-0200-000022000000}" name="Fuente" dataDxfId="74"/>
    <tableColumn id="35" xr3:uid="{00000000-0010-0000-0200-000023000000}" name="Tipo fuente" dataDxfId="73"/>
  </tableColumns>
  <tableStyleInfo name="TableStyleLight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umenMunicipalTable" displayName="ResumenMunicipalTable" ref="A1:H29" totalsRowCount="1" headerRowDxfId="26" totalsRowDxfId="25">
  <tableColumns count="8">
    <tableColumn id="1" xr3:uid="{00000000-0010-0000-0300-000001000000}" name="Municipio" totalsRowDxfId="24"/>
    <tableColumn id="2" xr3:uid="{00000000-0010-0000-0300-000002000000}" name="Cementerios" totalsRowFunction="sum" dataDxfId="23" totalsRowDxfId="22"/>
    <tableColumn id="3" xr3:uid="{00000000-0010-0000-0300-000003000000}" name="Cementerio Alta/Crítica" totalsRowFunction="sum" dataDxfId="21" totalsRowDxfId="20"/>
    <tableColumn id="4" xr3:uid="{00000000-0010-0000-0300-000004000000}" name="Cementerio con restricción" totalsRowFunction="sum" dataDxfId="19" totalsRowDxfId="18"/>
    <tableColumn id="5" xr3:uid="{00000000-0010-0000-0300-000005000000}" name="Alojamiento Temporal" totalsRowFunction="sum" dataDxfId="17" totalsRowDxfId="16"/>
    <tableColumn id="6" xr3:uid="{00000000-0010-0000-0300-000006000000}" name="ATI Alta/Crítica" totalsRowFunction="sum" dataDxfId="15" totalsRowDxfId="14"/>
    <tableColumn id="7" xr3:uid="{00000000-0010-0000-0300-000007000000}" name="ATI _x000a_No concluyente" totalsRowFunction="custom" dataDxfId="13" totalsRowDxfId="12">
      <totalsRowFormula>SUBTOTAL(109,G2:G28)</totalsRowFormula>
    </tableColumn>
    <tableColumn id="8" xr3:uid="{00000000-0010-0000-0300-000008000000}" name="ATI_x000a_Población  documentada" totalsRowFunction="custom" dataDxfId="11" totalsRowDxfId="10">
      <totalsRowFormula>SUBTOTAL(109,H2:H28)</totalsRowFormula>
    </tableColumn>
  </tableColumns>
  <tableStyleInfo name="TableStyleLight9"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showGridLines="0" workbookViewId="0">
      <selection activeCell="D20" sqref="D20"/>
    </sheetView>
  </sheetViews>
  <sheetFormatPr baseColWidth="10" defaultColWidth="8.7265625" defaultRowHeight="14.5" x14ac:dyDescent="0.35"/>
  <cols>
    <col min="1" max="1" width="18.54296875" customWidth="1"/>
    <col min="2" max="2" width="8.36328125" bestFit="1" customWidth="1"/>
    <col min="3" max="3" width="9.26953125" customWidth="1"/>
    <col min="4" max="4" width="12.6328125" customWidth="1"/>
    <col min="5" max="5" width="9.26953125" customWidth="1"/>
    <col min="6" max="6" width="5.54296875" customWidth="1"/>
    <col min="7" max="7" width="8.6328125" customWidth="1"/>
    <col min="8" max="8" width="10.6328125" customWidth="1"/>
    <col min="9" max="9" width="18.26953125" customWidth="1"/>
  </cols>
  <sheetData>
    <row r="1" spans="1:9" ht="13" customHeight="1" x14ac:dyDescent="0.35">
      <c r="A1" s="48" t="s">
        <v>342</v>
      </c>
      <c r="B1" s="49"/>
      <c r="C1" s="49"/>
      <c r="D1" s="49"/>
      <c r="E1" s="49"/>
      <c r="F1" s="49"/>
      <c r="G1" s="49"/>
      <c r="H1" s="49"/>
      <c r="I1" s="49"/>
    </row>
    <row r="2" spans="1:9" ht="21.4" customHeight="1" x14ac:dyDescent="0.35">
      <c r="A2" s="49"/>
      <c r="B2" s="49"/>
      <c r="C2" s="49"/>
      <c r="D2" s="49"/>
      <c r="E2" s="49"/>
      <c r="F2" s="49"/>
      <c r="G2" s="49"/>
      <c r="H2" s="49"/>
      <c r="I2" s="49"/>
    </row>
    <row r="3" spans="1:9" x14ac:dyDescent="0.35">
      <c r="A3" s="58" t="s">
        <v>0</v>
      </c>
      <c r="B3" s="58"/>
      <c r="C3" s="58"/>
      <c r="D3" s="46" t="s">
        <v>1</v>
      </c>
      <c r="E3" s="46"/>
      <c r="F3" s="1"/>
      <c r="G3" s="1"/>
      <c r="H3" s="1"/>
      <c r="I3" s="1"/>
    </row>
    <row r="5" spans="1:9" x14ac:dyDescent="0.35">
      <c r="A5" s="56" t="s">
        <v>337</v>
      </c>
      <c r="B5" s="56"/>
      <c r="C5" s="56"/>
      <c r="D5" s="56"/>
      <c r="E5" s="18"/>
      <c r="F5" s="57" t="s">
        <v>338</v>
      </c>
      <c r="G5" s="57"/>
      <c r="H5" s="57"/>
      <c r="I5" s="57"/>
    </row>
    <row r="7" spans="1:9" ht="29.5" customHeight="1" x14ac:dyDescent="0.35">
      <c r="A7" s="50" t="s">
        <v>339</v>
      </c>
      <c r="B7" s="51"/>
      <c r="C7" s="50" t="s">
        <v>340</v>
      </c>
      <c r="D7" s="51"/>
      <c r="E7" s="5"/>
      <c r="F7" s="50" t="s">
        <v>341</v>
      </c>
      <c r="G7" s="51"/>
      <c r="H7" s="54" t="s">
        <v>2</v>
      </c>
      <c r="I7" s="51"/>
    </row>
    <row r="8" spans="1:9" ht="20" customHeight="1" x14ac:dyDescent="0.35">
      <c r="A8" s="52">
        <f>COUNTA(CEMENTERIOS!A2:A500)</f>
        <v>50</v>
      </c>
      <c r="B8" s="53">
        <f>COUNTA(CEMENTERIOS!A2:A500)</f>
        <v>50</v>
      </c>
      <c r="C8" s="52">
        <f>COUNTIF(CEMENTERIOS!G2:G500,"Alta")+COUNTIF(CEMENTERIOS!G2:G500,"Crítica")</f>
        <v>24</v>
      </c>
      <c r="D8" s="53">
        <f>COUNTIF(CEMENTERIOS!G2:G500,"Alta")+COUNTIF(CEMENTERIOS!G2:G500,"Crítica")</f>
        <v>24</v>
      </c>
      <c r="E8" s="6"/>
      <c r="F8" s="52">
        <f>COUNTA(ALOJAMIENTO_TEMPORAL!A2:A500)</f>
        <v>18</v>
      </c>
      <c r="G8" s="53">
        <f>COUNTA(ALOJAMIENTO_TEMPORAL!A2:A500)</f>
        <v>18</v>
      </c>
      <c r="H8" s="55">
        <f>COUNTIF(ALOJAMIENTO_TEMPORAL!N2:N500,"Alta")+COUNTIF(ALOJAMIENTO_TEMPORAL!N2:N500,"Crítica")</f>
        <v>2</v>
      </c>
      <c r="I8" s="53">
        <f>COUNTIF(ALOJAMIENTO_TEMPORAL!N2:N500,"Alta")+COUNTIF(ALOJAMIENTO_TEMPORAL!N2:N500,"Crítica")</f>
        <v>2</v>
      </c>
    </row>
    <row r="10" spans="1:9" ht="34.5" customHeight="1" x14ac:dyDescent="0.35">
      <c r="A10" s="3" t="s">
        <v>3</v>
      </c>
      <c r="B10" s="3" t="s">
        <v>4</v>
      </c>
      <c r="F10" s="59" t="s">
        <v>6</v>
      </c>
      <c r="G10" s="59"/>
      <c r="H10" s="19" t="s">
        <v>4</v>
      </c>
    </row>
    <row r="11" spans="1:9" ht="16" customHeight="1" x14ac:dyDescent="0.35">
      <c r="A11" s="23" t="s">
        <v>7</v>
      </c>
      <c r="B11" s="24">
        <f>COUNTIF(CEMENTERIOS!F2:F500,"Sin afectación")</f>
        <v>16</v>
      </c>
      <c r="F11" s="60" t="s">
        <v>8</v>
      </c>
      <c r="G11" s="61"/>
      <c r="H11" s="20">
        <f>COUNTIF(ALOJAMIENTO_TEMPORAL!N2:N500,"Baja")</f>
        <v>8</v>
      </c>
    </row>
    <row r="12" spans="1:9" ht="16" customHeight="1" x14ac:dyDescent="0.35">
      <c r="A12" s="25" t="s">
        <v>9</v>
      </c>
      <c r="B12" s="26">
        <f>COUNTIF(CEMENTERIOS!F2:F500,"Leve")</f>
        <v>16</v>
      </c>
      <c r="F12" s="42" t="s">
        <v>10</v>
      </c>
      <c r="G12" s="43"/>
      <c r="H12" s="21">
        <f>COUNTIF(ALOJAMIENTO_TEMPORAL!N2:N500,"Media")</f>
        <v>5</v>
      </c>
    </row>
    <row r="13" spans="1:9" ht="16" customHeight="1" x14ac:dyDescent="0.35">
      <c r="A13" s="25" t="s">
        <v>11</v>
      </c>
      <c r="B13" s="26">
        <f>COUNTIF(CEMENTERIOS!F2:F500,"Moderada")</f>
        <v>8</v>
      </c>
      <c r="F13" s="42" t="s">
        <v>12</v>
      </c>
      <c r="G13" s="43"/>
      <c r="H13" s="21">
        <f>COUNTIF(ALOJAMIENTO_TEMPORAL!N2:N500,"Alta")</f>
        <v>2</v>
      </c>
    </row>
    <row r="14" spans="1:9" ht="16" customHeight="1" x14ac:dyDescent="0.35">
      <c r="A14" s="25" t="s">
        <v>13</v>
      </c>
      <c r="B14" s="26">
        <f>COUNTIF(CEMENTERIOS!F2:F500,"Grave")</f>
        <v>8</v>
      </c>
      <c r="F14" s="44" t="s">
        <v>15</v>
      </c>
      <c r="G14" s="45"/>
      <c r="H14" s="22">
        <f>COUNTIF(ALOJAMIENTO_TEMPORAL!N2:N500,"No concluyente")</f>
        <v>3</v>
      </c>
    </row>
    <row r="15" spans="1:9" ht="16" customHeight="1" x14ac:dyDescent="0.35">
      <c r="A15" s="25" t="s">
        <v>14</v>
      </c>
      <c r="B15" s="26">
        <f>COUNTIF(CEMENTERIOS!F2:F500,"Crítica")</f>
        <v>1</v>
      </c>
    </row>
    <row r="16" spans="1:9" ht="16" customHeight="1" x14ac:dyDescent="0.35">
      <c r="A16" s="27" t="s">
        <v>16</v>
      </c>
      <c r="B16" s="28">
        <f>COUNTIF(CEMENTERIOS!F2:F500,"No consignado")</f>
        <v>1</v>
      </c>
    </row>
    <row r="18" spans="1:9" ht="29" x14ac:dyDescent="0.35">
      <c r="A18" s="3" t="s">
        <v>5</v>
      </c>
      <c r="B18" s="4" t="s">
        <v>4</v>
      </c>
    </row>
    <row r="19" spans="1:9" x14ac:dyDescent="0.35">
      <c r="A19" s="23" t="s">
        <v>8</v>
      </c>
      <c r="B19" s="24">
        <f>COUNTIF(CEMENTERIOS!G2:G500,"Baja")</f>
        <v>13</v>
      </c>
    </row>
    <row r="20" spans="1:9" x14ac:dyDescent="0.35">
      <c r="A20" s="25" t="s">
        <v>10</v>
      </c>
      <c r="B20" s="26">
        <f>COUNTIF(CEMENTERIOS!G2:G500,"Media")</f>
        <v>13</v>
      </c>
    </row>
    <row r="21" spans="1:9" x14ac:dyDescent="0.35">
      <c r="A21" s="25" t="s">
        <v>12</v>
      </c>
      <c r="B21" s="26">
        <f>COUNTIF(CEMENTERIOS!G2:G500,"Alta")</f>
        <v>20</v>
      </c>
    </row>
    <row r="22" spans="1:9" x14ac:dyDescent="0.35">
      <c r="A22" s="25" t="s">
        <v>14</v>
      </c>
      <c r="B22" s="26">
        <f>COUNTIF(CEMENTERIOS!G2:G500,"Crítica")</f>
        <v>4</v>
      </c>
    </row>
    <row r="23" spans="1:9" x14ac:dyDescent="0.35">
      <c r="A23" s="27" t="s">
        <v>15</v>
      </c>
      <c r="B23" s="28">
        <f>COUNTIF(CEMENTERIOS!G2:G500,"No concluyente")</f>
        <v>0</v>
      </c>
    </row>
    <row r="26" spans="1:9" ht="16" customHeight="1" x14ac:dyDescent="0.35">
      <c r="A26" s="47" t="s">
        <v>17</v>
      </c>
      <c r="B26" s="47"/>
      <c r="C26" s="47"/>
      <c r="D26" s="47"/>
      <c r="E26" s="47"/>
      <c r="F26" s="47"/>
      <c r="G26" s="47"/>
      <c r="H26" s="47"/>
      <c r="I26" s="47"/>
    </row>
    <row r="27" spans="1:9" ht="16" customHeight="1" x14ac:dyDescent="0.35">
      <c r="A27" s="47"/>
      <c r="B27" s="47"/>
      <c r="C27" s="47"/>
      <c r="D27" s="47"/>
      <c r="E27" s="47"/>
      <c r="F27" s="47"/>
      <c r="G27" s="47"/>
      <c r="H27" s="47"/>
      <c r="I27" s="47"/>
    </row>
    <row r="28" spans="1:9" ht="16" customHeight="1" x14ac:dyDescent="0.35">
      <c r="A28" s="47"/>
      <c r="B28" s="47"/>
      <c r="C28" s="47"/>
      <c r="D28" s="47"/>
      <c r="E28" s="47"/>
      <c r="F28" s="47"/>
      <c r="G28" s="47"/>
      <c r="H28" s="47"/>
      <c r="I28" s="47"/>
    </row>
    <row r="29" spans="1:9" ht="16" customHeight="1" x14ac:dyDescent="0.35">
      <c r="A29" s="47"/>
      <c r="B29" s="47"/>
      <c r="C29" s="47"/>
      <c r="D29" s="47"/>
      <c r="E29" s="47"/>
      <c r="F29" s="47"/>
      <c r="G29" s="47"/>
      <c r="H29" s="47"/>
      <c r="I29" s="47"/>
    </row>
    <row r="30" spans="1:9" x14ac:dyDescent="0.35">
      <c r="A30" s="47"/>
      <c r="B30" s="47"/>
      <c r="C30" s="47"/>
      <c r="D30" s="47"/>
      <c r="E30" s="47"/>
      <c r="F30" s="47"/>
      <c r="G30" s="47"/>
      <c r="H30" s="47"/>
      <c r="I30" s="47"/>
    </row>
    <row r="31" spans="1:9" x14ac:dyDescent="0.35">
      <c r="A31" s="47"/>
      <c r="B31" s="47"/>
      <c r="C31" s="47"/>
      <c r="D31" s="47"/>
      <c r="E31" s="47"/>
      <c r="F31" s="47"/>
      <c r="G31" s="47"/>
      <c r="H31" s="47"/>
      <c r="I31" s="47"/>
    </row>
  </sheetData>
  <mergeCells count="19">
    <mergeCell ref="A1:I2"/>
    <mergeCell ref="A7:B7"/>
    <mergeCell ref="A8:B8"/>
    <mergeCell ref="C7:D7"/>
    <mergeCell ref="C8:D8"/>
    <mergeCell ref="F7:G7"/>
    <mergeCell ref="F8:G8"/>
    <mergeCell ref="H7:I7"/>
    <mergeCell ref="H8:I8"/>
    <mergeCell ref="A5:D5"/>
    <mergeCell ref="F5:I5"/>
    <mergeCell ref="A3:C3"/>
    <mergeCell ref="F12:G12"/>
    <mergeCell ref="F13:G13"/>
    <mergeCell ref="F14:G14"/>
    <mergeCell ref="D3:E3"/>
    <mergeCell ref="A26:I31"/>
    <mergeCell ref="F10:G10"/>
    <mergeCell ref="F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T51"/>
  <sheetViews>
    <sheetView showGridLines="0" tabSelected="1" zoomScale="55" zoomScaleNormal="55" workbookViewId="0">
      <selection activeCell="E19" sqref="E19"/>
    </sheetView>
  </sheetViews>
  <sheetFormatPr baseColWidth="10" defaultColWidth="8.7265625" defaultRowHeight="15.5" customHeight="1" x14ac:dyDescent="0.3"/>
  <cols>
    <col min="1" max="1" width="11" style="11" customWidth="1"/>
    <col min="2" max="2" width="20" style="11" customWidth="1"/>
    <col min="3" max="3" width="13.6328125" style="11" bestFit="1" customWidth="1"/>
    <col min="4" max="4" width="19.08984375" style="32" bestFit="1" customWidth="1"/>
    <col min="5" max="5" width="76.36328125" style="11" bestFit="1" customWidth="1"/>
    <col min="6" max="6" width="33.7265625" style="11" bestFit="1" customWidth="1"/>
    <col min="7" max="7" width="20.90625" style="32" bestFit="1" customWidth="1"/>
    <col min="8" max="8" width="26" style="11" customWidth="1"/>
    <col min="9" max="9" width="28" style="11" customWidth="1"/>
    <col min="10" max="10" width="25" style="11" customWidth="1"/>
    <col min="11" max="11" width="24" style="11" customWidth="1"/>
    <col min="12" max="12" width="22" style="11" customWidth="1"/>
    <col min="13" max="13" width="25" style="11" customWidth="1"/>
    <col min="14" max="14" width="30" style="11" customWidth="1"/>
    <col min="15" max="15" width="12" style="11" customWidth="1"/>
    <col min="16" max="16" width="10" style="11" customWidth="1"/>
    <col min="17" max="17" width="38" style="11" customWidth="1"/>
    <col min="18" max="19" width="42" style="11" customWidth="1"/>
    <col min="20" max="20" width="25" style="11" customWidth="1"/>
    <col min="21" max="16384" width="8.7265625" style="11"/>
  </cols>
  <sheetData>
    <row r="1" spans="1:20" ht="15.5" customHeight="1" x14ac:dyDescent="0.3">
      <c r="A1" s="10" t="s">
        <v>18</v>
      </c>
      <c r="B1" s="10" t="s">
        <v>19</v>
      </c>
      <c r="C1" s="10" t="s">
        <v>485</v>
      </c>
      <c r="D1" s="10" t="s">
        <v>486</v>
      </c>
      <c r="E1" s="10" t="s">
        <v>487</v>
      </c>
      <c r="F1" s="10" t="s">
        <v>488</v>
      </c>
      <c r="G1" s="10" t="s">
        <v>489</v>
      </c>
      <c r="H1" s="10" t="s">
        <v>490</v>
      </c>
      <c r="I1" s="10" t="s">
        <v>491</v>
      </c>
      <c r="J1" s="10" t="s">
        <v>492</v>
      </c>
      <c r="K1" s="10" t="s">
        <v>493</v>
      </c>
      <c r="L1" s="10" t="s">
        <v>494</v>
      </c>
      <c r="M1" s="10" t="s">
        <v>495</v>
      </c>
      <c r="N1" s="10" t="s">
        <v>496</v>
      </c>
      <c r="O1" s="10" t="s">
        <v>497</v>
      </c>
      <c r="P1" s="10" t="s">
        <v>498</v>
      </c>
      <c r="Q1" s="10" t="s">
        <v>499</v>
      </c>
      <c r="R1" s="10" t="s">
        <v>500</v>
      </c>
      <c r="S1" s="10" t="s">
        <v>501</v>
      </c>
      <c r="T1" s="10" t="s">
        <v>502</v>
      </c>
    </row>
    <row r="2" spans="1:20" ht="15.5" customHeight="1" x14ac:dyDescent="0.3">
      <c r="A2" s="12" t="s">
        <v>24</v>
      </c>
      <c r="B2" s="12" t="s">
        <v>343</v>
      </c>
      <c r="C2" s="12" t="s">
        <v>344</v>
      </c>
      <c r="D2" s="33">
        <v>46248</v>
      </c>
      <c r="E2" s="12" t="s">
        <v>26</v>
      </c>
      <c r="F2" s="12" t="s">
        <v>345</v>
      </c>
      <c r="G2" s="31" t="s">
        <v>243</v>
      </c>
      <c r="H2" s="12" t="s">
        <v>27</v>
      </c>
      <c r="I2" s="12" t="s">
        <v>27</v>
      </c>
      <c r="J2" s="12" t="s">
        <v>27</v>
      </c>
      <c r="K2" s="12" t="s">
        <v>27</v>
      </c>
      <c r="L2" s="12" t="s">
        <v>28</v>
      </c>
      <c r="M2" s="12" t="s">
        <v>28</v>
      </c>
      <c r="N2" s="12" t="s">
        <v>27</v>
      </c>
      <c r="O2" s="15">
        <v>100</v>
      </c>
      <c r="P2" s="12">
        <v>0</v>
      </c>
      <c r="Q2" s="12" t="s">
        <v>27</v>
      </c>
      <c r="R2" s="12"/>
      <c r="S2" s="12" t="s">
        <v>346</v>
      </c>
      <c r="T2" s="12" t="s">
        <v>347</v>
      </c>
    </row>
    <row r="3" spans="1:20" ht="15.5" customHeight="1" x14ac:dyDescent="0.3">
      <c r="A3" s="12" t="s">
        <v>29</v>
      </c>
      <c r="B3" s="12" t="s">
        <v>343</v>
      </c>
      <c r="C3" s="12" t="s">
        <v>348</v>
      </c>
      <c r="D3" s="33">
        <v>46247</v>
      </c>
      <c r="E3" s="12" t="s">
        <v>31</v>
      </c>
      <c r="F3" s="12" t="s">
        <v>349</v>
      </c>
      <c r="G3" s="31" t="s">
        <v>296</v>
      </c>
      <c r="H3" s="12" t="s">
        <v>28</v>
      </c>
      <c r="I3" s="12" t="s">
        <v>27</v>
      </c>
      <c r="J3" s="12" t="s">
        <v>28</v>
      </c>
      <c r="K3" s="12" t="s">
        <v>27</v>
      </c>
      <c r="L3" s="12" t="s">
        <v>27</v>
      </c>
      <c r="M3" s="12" t="s">
        <v>28</v>
      </c>
      <c r="N3" s="12" t="s">
        <v>27</v>
      </c>
      <c r="O3" s="15">
        <v>100</v>
      </c>
      <c r="P3" s="12">
        <v>3</v>
      </c>
      <c r="Q3" s="12" t="s">
        <v>28</v>
      </c>
      <c r="R3" s="12"/>
      <c r="S3" s="12" t="s">
        <v>346</v>
      </c>
      <c r="T3" s="12" t="s">
        <v>347</v>
      </c>
    </row>
    <row r="4" spans="1:20" ht="15.5" customHeight="1" x14ac:dyDescent="0.3">
      <c r="A4" s="12" t="s">
        <v>32</v>
      </c>
      <c r="B4" s="12" t="s">
        <v>343</v>
      </c>
      <c r="C4" s="12" t="s">
        <v>350</v>
      </c>
      <c r="D4" s="33">
        <v>46248</v>
      </c>
      <c r="E4" s="12" t="s">
        <v>34</v>
      </c>
      <c r="F4" s="12" t="s">
        <v>349</v>
      </c>
      <c r="G4" s="31" t="s">
        <v>267</v>
      </c>
      <c r="H4" s="12" t="s">
        <v>28</v>
      </c>
      <c r="I4" s="12" t="s">
        <v>28</v>
      </c>
      <c r="J4" s="12" t="s">
        <v>27</v>
      </c>
      <c r="K4" s="12" t="s">
        <v>27</v>
      </c>
      <c r="L4" s="12" t="s">
        <v>28</v>
      </c>
      <c r="M4" s="12" t="s">
        <v>28</v>
      </c>
      <c r="N4" s="12" t="s">
        <v>28</v>
      </c>
      <c r="O4" s="15">
        <v>100</v>
      </c>
      <c r="P4" s="12">
        <v>3</v>
      </c>
      <c r="Q4" s="12" t="s">
        <v>28</v>
      </c>
      <c r="R4" s="12"/>
      <c r="S4" s="12" t="s">
        <v>346</v>
      </c>
      <c r="T4" s="12" t="s">
        <v>347</v>
      </c>
    </row>
    <row r="5" spans="1:20" ht="15.5" customHeight="1" x14ac:dyDescent="0.3">
      <c r="A5" s="12" t="s">
        <v>35</v>
      </c>
      <c r="B5" s="12" t="s">
        <v>343</v>
      </c>
      <c r="C5" s="12" t="s">
        <v>351</v>
      </c>
      <c r="D5" s="33">
        <v>46248</v>
      </c>
      <c r="E5" s="12" t="s">
        <v>37</v>
      </c>
      <c r="F5" s="12" t="s">
        <v>349</v>
      </c>
      <c r="G5" s="31" t="s">
        <v>267</v>
      </c>
      <c r="H5" s="12" t="s">
        <v>28</v>
      </c>
      <c r="I5" s="12" t="s">
        <v>28</v>
      </c>
      <c r="J5" s="12" t="s">
        <v>27</v>
      </c>
      <c r="K5" s="12" t="s">
        <v>28</v>
      </c>
      <c r="L5" s="12" t="s">
        <v>28</v>
      </c>
      <c r="M5" s="12" t="s">
        <v>28</v>
      </c>
      <c r="N5" s="12" t="s">
        <v>28</v>
      </c>
      <c r="O5" s="15">
        <v>100</v>
      </c>
      <c r="P5" s="12">
        <v>1</v>
      </c>
      <c r="Q5" s="12" t="s">
        <v>28</v>
      </c>
      <c r="R5" s="12"/>
      <c r="S5" s="12" t="s">
        <v>346</v>
      </c>
      <c r="T5" s="12" t="s">
        <v>347</v>
      </c>
    </row>
    <row r="6" spans="1:20" ht="15.5" customHeight="1" x14ac:dyDescent="0.3">
      <c r="A6" s="12" t="s">
        <v>38</v>
      </c>
      <c r="B6" s="12" t="s">
        <v>343</v>
      </c>
      <c r="C6" s="12" t="s">
        <v>344</v>
      </c>
      <c r="D6" s="33">
        <v>46248</v>
      </c>
      <c r="E6" s="12" t="s">
        <v>39</v>
      </c>
      <c r="F6" s="12" t="s">
        <v>345</v>
      </c>
      <c r="G6" s="31" t="s">
        <v>243</v>
      </c>
      <c r="H6" s="12" t="s">
        <v>27</v>
      </c>
      <c r="I6" s="12" t="s">
        <v>27</v>
      </c>
      <c r="J6" s="12" t="s">
        <v>27</v>
      </c>
      <c r="K6" s="12" t="s">
        <v>27</v>
      </c>
      <c r="L6" s="12" t="s">
        <v>28</v>
      </c>
      <c r="M6" s="12" t="s">
        <v>28</v>
      </c>
      <c r="N6" s="12" t="s">
        <v>27</v>
      </c>
      <c r="O6" s="15">
        <v>100</v>
      </c>
      <c r="P6" s="12">
        <v>0</v>
      </c>
      <c r="Q6" s="12" t="s">
        <v>27</v>
      </c>
      <c r="R6" s="12"/>
      <c r="S6" s="12" t="s">
        <v>346</v>
      </c>
      <c r="T6" s="12" t="s">
        <v>347</v>
      </c>
    </row>
    <row r="7" spans="1:20" ht="15.5" customHeight="1" x14ac:dyDescent="0.3">
      <c r="A7" s="12" t="s">
        <v>40</v>
      </c>
      <c r="B7" s="12" t="s">
        <v>343</v>
      </c>
      <c r="C7" s="12" t="s">
        <v>352</v>
      </c>
      <c r="D7" s="33">
        <v>46248</v>
      </c>
      <c r="E7" s="12" t="s">
        <v>42</v>
      </c>
      <c r="F7" s="12" t="s">
        <v>345</v>
      </c>
      <c r="G7" s="31" t="s">
        <v>243</v>
      </c>
      <c r="H7" s="12" t="s">
        <v>27</v>
      </c>
      <c r="I7" s="12" t="s">
        <v>27</v>
      </c>
      <c r="J7" s="12" t="s">
        <v>27</v>
      </c>
      <c r="K7" s="12" t="s">
        <v>27</v>
      </c>
      <c r="L7" s="12" t="s">
        <v>28</v>
      </c>
      <c r="M7" s="12" t="s">
        <v>28</v>
      </c>
      <c r="N7" s="12" t="s">
        <v>27</v>
      </c>
      <c r="O7" s="15">
        <v>100</v>
      </c>
      <c r="P7" s="12">
        <v>2</v>
      </c>
      <c r="Q7" s="12" t="s">
        <v>27</v>
      </c>
      <c r="R7" s="12"/>
      <c r="S7" s="12" t="s">
        <v>346</v>
      </c>
      <c r="T7" s="12" t="s">
        <v>347</v>
      </c>
    </row>
    <row r="8" spans="1:20" ht="15.5" customHeight="1" x14ac:dyDescent="0.3">
      <c r="A8" s="12" t="s">
        <v>43</v>
      </c>
      <c r="B8" s="12" t="s">
        <v>343</v>
      </c>
      <c r="C8" s="12" t="s">
        <v>352</v>
      </c>
      <c r="D8" s="33">
        <v>46248</v>
      </c>
      <c r="E8" s="12" t="s">
        <v>44</v>
      </c>
      <c r="F8" s="12" t="s">
        <v>345</v>
      </c>
      <c r="G8" s="31" t="s">
        <v>243</v>
      </c>
      <c r="H8" s="12" t="s">
        <v>27</v>
      </c>
      <c r="I8" s="12" t="s">
        <v>27</v>
      </c>
      <c r="J8" s="12" t="s">
        <v>27</v>
      </c>
      <c r="K8" s="12" t="s">
        <v>27</v>
      </c>
      <c r="L8" s="12" t="s">
        <v>28</v>
      </c>
      <c r="M8" s="12" t="s">
        <v>27</v>
      </c>
      <c r="N8" s="12" t="s">
        <v>27</v>
      </c>
      <c r="O8" s="15">
        <v>100</v>
      </c>
      <c r="P8" s="12">
        <v>0</v>
      </c>
      <c r="Q8" s="12" t="s">
        <v>27</v>
      </c>
      <c r="R8" s="12"/>
      <c r="S8" s="12" t="s">
        <v>346</v>
      </c>
      <c r="T8" s="12" t="s">
        <v>347</v>
      </c>
    </row>
    <row r="9" spans="1:20" ht="15.5" customHeight="1" x14ac:dyDescent="0.3">
      <c r="A9" s="12" t="s">
        <v>45</v>
      </c>
      <c r="B9" s="12" t="s">
        <v>343</v>
      </c>
      <c r="C9" s="12" t="s">
        <v>352</v>
      </c>
      <c r="D9" s="33">
        <v>46248</v>
      </c>
      <c r="E9" s="12" t="s">
        <v>46</v>
      </c>
      <c r="F9" s="12" t="s">
        <v>353</v>
      </c>
      <c r="G9" s="31" t="s">
        <v>296</v>
      </c>
      <c r="H9" s="12" t="s">
        <v>28</v>
      </c>
      <c r="I9" s="12" t="s">
        <v>27</v>
      </c>
      <c r="J9" s="12" t="s">
        <v>28</v>
      </c>
      <c r="K9" s="12" t="s">
        <v>27</v>
      </c>
      <c r="L9" s="12" t="s">
        <v>28</v>
      </c>
      <c r="M9" s="12" t="s">
        <v>28</v>
      </c>
      <c r="N9" s="12"/>
      <c r="O9" s="15">
        <v>91</v>
      </c>
      <c r="P9" s="12">
        <v>0</v>
      </c>
      <c r="Q9" s="12" t="s">
        <v>27</v>
      </c>
      <c r="R9" s="12"/>
      <c r="S9" s="12" t="s">
        <v>346</v>
      </c>
      <c r="T9" s="12" t="s">
        <v>347</v>
      </c>
    </row>
    <row r="10" spans="1:20" ht="15.5" customHeight="1" x14ac:dyDescent="0.3">
      <c r="A10" s="12" t="s">
        <v>47</v>
      </c>
      <c r="B10" s="12" t="s">
        <v>343</v>
      </c>
      <c r="C10" s="12" t="s">
        <v>348</v>
      </c>
      <c r="D10" s="33">
        <v>46248</v>
      </c>
      <c r="E10" s="12" t="s">
        <v>48</v>
      </c>
      <c r="F10" s="12" t="s">
        <v>354</v>
      </c>
      <c r="G10" s="31" t="s">
        <v>267</v>
      </c>
      <c r="H10" s="12"/>
      <c r="I10" s="12"/>
      <c r="J10" s="12" t="s">
        <v>28</v>
      </c>
      <c r="K10" s="12"/>
      <c r="L10" s="12"/>
      <c r="M10" s="12"/>
      <c r="N10" s="12"/>
      <c r="O10" s="15">
        <v>18</v>
      </c>
      <c r="P10" s="12">
        <v>0</v>
      </c>
      <c r="Q10" s="12"/>
      <c r="R10" s="12"/>
      <c r="S10" s="12" t="s">
        <v>346</v>
      </c>
      <c r="T10" s="12" t="s">
        <v>347</v>
      </c>
    </row>
    <row r="11" spans="1:20" ht="15.5" customHeight="1" x14ac:dyDescent="0.3">
      <c r="A11" s="12" t="s">
        <v>49</v>
      </c>
      <c r="B11" s="12" t="s">
        <v>343</v>
      </c>
      <c r="C11" s="12" t="s">
        <v>348</v>
      </c>
      <c r="D11" s="33">
        <v>46248</v>
      </c>
      <c r="E11" s="12" t="s">
        <v>50</v>
      </c>
      <c r="F11" s="12" t="s">
        <v>354</v>
      </c>
      <c r="G11" s="31" t="s">
        <v>355</v>
      </c>
      <c r="H11" s="12"/>
      <c r="I11" s="12" t="s">
        <v>28</v>
      </c>
      <c r="J11" s="12"/>
      <c r="K11" s="12" t="s">
        <v>28</v>
      </c>
      <c r="L11" s="12"/>
      <c r="M11" s="12"/>
      <c r="N11" s="12"/>
      <c r="O11" s="15">
        <v>27</v>
      </c>
      <c r="P11" s="12">
        <v>0</v>
      </c>
      <c r="Q11" s="12"/>
      <c r="R11" s="12"/>
      <c r="S11" s="12" t="s">
        <v>346</v>
      </c>
      <c r="T11" s="12" t="s">
        <v>347</v>
      </c>
    </row>
    <row r="12" spans="1:20" ht="15.5" customHeight="1" x14ac:dyDescent="0.3">
      <c r="A12" s="12" t="s">
        <v>51</v>
      </c>
      <c r="B12" s="12" t="s">
        <v>343</v>
      </c>
      <c r="C12" s="12" t="s">
        <v>348</v>
      </c>
      <c r="D12" s="33">
        <v>46248</v>
      </c>
      <c r="E12" s="12" t="s">
        <v>52</v>
      </c>
      <c r="F12" s="12" t="s">
        <v>345</v>
      </c>
      <c r="G12" s="31" t="s">
        <v>243</v>
      </c>
      <c r="H12" s="12"/>
      <c r="I12" s="12" t="s">
        <v>27</v>
      </c>
      <c r="J12" s="12"/>
      <c r="K12" s="12" t="s">
        <v>27</v>
      </c>
      <c r="L12" s="12"/>
      <c r="M12" s="12"/>
      <c r="N12" s="12"/>
      <c r="O12" s="15">
        <v>27</v>
      </c>
      <c r="P12" s="12">
        <v>0</v>
      </c>
      <c r="Q12" s="12"/>
      <c r="R12" s="12"/>
      <c r="S12" s="12" t="s">
        <v>346</v>
      </c>
      <c r="T12" s="12" t="s">
        <v>347</v>
      </c>
    </row>
    <row r="13" spans="1:20" ht="15.5" customHeight="1" x14ac:dyDescent="0.3">
      <c r="A13" s="12" t="s">
        <v>53</v>
      </c>
      <c r="B13" s="12" t="s">
        <v>343</v>
      </c>
      <c r="C13" s="12" t="s">
        <v>348</v>
      </c>
      <c r="D13" s="33">
        <v>46248</v>
      </c>
      <c r="E13" s="12" t="s">
        <v>54</v>
      </c>
      <c r="F13" s="12" t="s">
        <v>354</v>
      </c>
      <c r="G13" s="31" t="s">
        <v>267</v>
      </c>
      <c r="H13" s="12"/>
      <c r="I13" s="12" t="s">
        <v>27</v>
      </c>
      <c r="J13" s="12" t="s">
        <v>28</v>
      </c>
      <c r="K13" s="12" t="s">
        <v>27</v>
      </c>
      <c r="L13" s="12"/>
      <c r="M13" s="12"/>
      <c r="N13" s="12"/>
      <c r="O13" s="15">
        <v>36</v>
      </c>
      <c r="P13" s="12">
        <v>0</v>
      </c>
      <c r="Q13" s="12"/>
      <c r="R13" s="12"/>
      <c r="S13" s="12" t="s">
        <v>346</v>
      </c>
      <c r="T13" s="12" t="s">
        <v>347</v>
      </c>
    </row>
    <row r="14" spans="1:20" ht="15.5" customHeight="1" x14ac:dyDescent="0.3">
      <c r="A14" s="12" t="s">
        <v>55</v>
      </c>
      <c r="B14" s="12" t="s">
        <v>343</v>
      </c>
      <c r="C14" s="12" t="s">
        <v>356</v>
      </c>
      <c r="D14" s="33">
        <v>46248</v>
      </c>
      <c r="E14" s="12" t="s">
        <v>37</v>
      </c>
      <c r="F14" s="12" t="s">
        <v>345</v>
      </c>
      <c r="G14" s="31" t="s">
        <v>243</v>
      </c>
      <c r="H14" s="12" t="s">
        <v>27</v>
      </c>
      <c r="I14" s="12" t="s">
        <v>27</v>
      </c>
      <c r="J14" s="12" t="s">
        <v>27</v>
      </c>
      <c r="K14" s="12" t="s">
        <v>27</v>
      </c>
      <c r="L14" s="12" t="s">
        <v>28</v>
      </c>
      <c r="M14" s="12" t="s">
        <v>28</v>
      </c>
      <c r="N14" s="12" t="s">
        <v>27</v>
      </c>
      <c r="O14" s="15">
        <v>100</v>
      </c>
      <c r="P14" s="12">
        <v>0</v>
      </c>
      <c r="Q14" s="12" t="s">
        <v>27</v>
      </c>
      <c r="R14" s="12"/>
      <c r="S14" s="12" t="s">
        <v>346</v>
      </c>
      <c r="T14" s="12" t="s">
        <v>347</v>
      </c>
    </row>
    <row r="15" spans="1:20" ht="15.5" customHeight="1" x14ac:dyDescent="0.3">
      <c r="A15" s="12" t="s">
        <v>57</v>
      </c>
      <c r="B15" s="12" t="s">
        <v>343</v>
      </c>
      <c r="C15" s="12" t="s">
        <v>344</v>
      </c>
      <c r="D15" s="33">
        <v>46248</v>
      </c>
      <c r="E15" s="12" t="s">
        <v>58</v>
      </c>
      <c r="F15" s="12" t="s">
        <v>345</v>
      </c>
      <c r="G15" s="31" t="s">
        <v>243</v>
      </c>
      <c r="H15" s="12" t="s">
        <v>27</v>
      </c>
      <c r="I15" s="12" t="s">
        <v>27</v>
      </c>
      <c r="J15" s="12" t="s">
        <v>27</v>
      </c>
      <c r="K15" s="12" t="s">
        <v>27</v>
      </c>
      <c r="L15" s="12" t="s">
        <v>28</v>
      </c>
      <c r="M15" s="12" t="s">
        <v>28</v>
      </c>
      <c r="N15" s="12" t="s">
        <v>27</v>
      </c>
      <c r="O15" s="15">
        <v>100</v>
      </c>
      <c r="P15" s="12">
        <v>0</v>
      </c>
      <c r="Q15" s="12" t="s">
        <v>27</v>
      </c>
      <c r="R15" s="12"/>
      <c r="S15" s="12" t="s">
        <v>346</v>
      </c>
      <c r="T15" s="12" t="s">
        <v>347</v>
      </c>
    </row>
    <row r="16" spans="1:20" ht="15.5" customHeight="1" x14ac:dyDescent="0.3">
      <c r="A16" s="12" t="s">
        <v>59</v>
      </c>
      <c r="B16" s="12" t="s">
        <v>343</v>
      </c>
      <c r="C16" s="12" t="s">
        <v>357</v>
      </c>
      <c r="D16" s="33">
        <v>46249</v>
      </c>
      <c r="E16" s="12" t="s">
        <v>61</v>
      </c>
      <c r="F16" s="12" t="s">
        <v>349</v>
      </c>
      <c r="G16" s="31" t="s">
        <v>267</v>
      </c>
      <c r="H16" s="12" t="s">
        <v>28</v>
      </c>
      <c r="I16" s="12" t="s">
        <v>27</v>
      </c>
      <c r="J16" s="12" t="s">
        <v>28</v>
      </c>
      <c r="K16" s="12" t="s">
        <v>27</v>
      </c>
      <c r="L16" s="12" t="s">
        <v>28</v>
      </c>
      <c r="M16" s="12" t="s">
        <v>28</v>
      </c>
      <c r="N16" s="12" t="s">
        <v>27</v>
      </c>
      <c r="O16" s="15">
        <v>100</v>
      </c>
      <c r="P16" s="12">
        <v>0</v>
      </c>
      <c r="Q16" s="12" t="s">
        <v>27</v>
      </c>
      <c r="R16" s="12"/>
      <c r="S16" s="12" t="s">
        <v>346</v>
      </c>
      <c r="T16" s="12" t="s">
        <v>347</v>
      </c>
    </row>
    <row r="17" spans="1:20" ht="15.5" customHeight="1" x14ac:dyDescent="0.3">
      <c r="A17" s="12" t="s">
        <v>62</v>
      </c>
      <c r="B17" s="12" t="s">
        <v>343</v>
      </c>
      <c r="C17" s="12" t="s">
        <v>357</v>
      </c>
      <c r="D17" s="33">
        <v>46249</v>
      </c>
      <c r="E17" s="12" t="s">
        <v>63</v>
      </c>
      <c r="F17" s="12" t="s">
        <v>345</v>
      </c>
      <c r="G17" s="31" t="s">
        <v>243</v>
      </c>
      <c r="H17" s="12" t="s">
        <v>27</v>
      </c>
      <c r="I17" s="12" t="s">
        <v>27</v>
      </c>
      <c r="J17" s="12" t="s">
        <v>27</v>
      </c>
      <c r="K17" s="12" t="s">
        <v>27</v>
      </c>
      <c r="L17" s="12" t="s">
        <v>28</v>
      </c>
      <c r="M17" s="12" t="s">
        <v>28</v>
      </c>
      <c r="N17" s="12" t="s">
        <v>27</v>
      </c>
      <c r="O17" s="15">
        <v>100</v>
      </c>
      <c r="P17" s="12">
        <v>1</v>
      </c>
      <c r="Q17" s="12" t="s">
        <v>27</v>
      </c>
      <c r="R17" s="12"/>
      <c r="S17" s="12" t="s">
        <v>346</v>
      </c>
      <c r="T17" s="12" t="s">
        <v>347</v>
      </c>
    </row>
    <row r="18" spans="1:20" ht="15.5" customHeight="1" x14ac:dyDescent="0.3">
      <c r="A18" s="12" t="s">
        <v>64</v>
      </c>
      <c r="B18" s="12" t="s">
        <v>343</v>
      </c>
      <c r="C18" s="12" t="s">
        <v>357</v>
      </c>
      <c r="D18" s="33">
        <v>46249</v>
      </c>
      <c r="E18" s="12" t="s">
        <v>65</v>
      </c>
      <c r="F18" s="12" t="s">
        <v>345</v>
      </c>
      <c r="G18" s="31" t="s">
        <v>243</v>
      </c>
      <c r="H18" s="12" t="s">
        <v>27</v>
      </c>
      <c r="I18" s="12" t="s">
        <v>27</v>
      </c>
      <c r="J18" s="12" t="s">
        <v>27</v>
      </c>
      <c r="K18" s="12" t="s">
        <v>27</v>
      </c>
      <c r="L18" s="12" t="s">
        <v>28</v>
      </c>
      <c r="M18" s="12" t="s">
        <v>28</v>
      </c>
      <c r="N18" s="12" t="s">
        <v>27</v>
      </c>
      <c r="O18" s="15">
        <v>100</v>
      </c>
      <c r="P18" s="12">
        <v>0</v>
      </c>
      <c r="Q18" s="12" t="s">
        <v>27</v>
      </c>
      <c r="R18" s="12"/>
      <c r="S18" s="12" t="s">
        <v>346</v>
      </c>
      <c r="T18" s="12" t="s">
        <v>347</v>
      </c>
    </row>
    <row r="19" spans="1:20" ht="15.5" customHeight="1" x14ac:dyDescent="0.3">
      <c r="A19" s="12" t="s">
        <v>66</v>
      </c>
      <c r="B19" s="12" t="s">
        <v>343</v>
      </c>
      <c r="C19" s="12" t="s">
        <v>358</v>
      </c>
      <c r="D19" s="33">
        <v>46249</v>
      </c>
      <c r="E19" s="12" t="s">
        <v>68</v>
      </c>
      <c r="F19" s="12" t="s">
        <v>345</v>
      </c>
      <c r="G19" s="31" t="s">
        <v>243</v>
      </c>
      <c r="H19" s="12"/>
      <c r="I19" s="12" t="s">
        <v>27</v>
      </c>
      <c r="J19" s="12" t="s">
        <v>27</v>
      </c>
      <c r="K19" s="12" t="s">
        <v>27</v>
      </c>
      <c r="L19" s="12"/>
      <c r="M19" s="12"/>
      <c r="N19" s="12"/>
      <c r="O19" s="15">
        <v>27</v>
      </c>
      <c r="P19" s="12">
        <v>0</v>
      </c>
      <c r="Q19" s="12"/>
      <c r="R19" s="12"/>
      <c r="S19" s="12" t="s">
        <v>346</v>
      </c>
      <c r="T19" s="12" t="s">
        <v>347</v>
      </c>
    </row>
    <row r="20" spans="1:20" ht="15.5" customHeight="1" x14ac:dyDescent="0.3">
      <c r="A20" s="12" t="s">
        <v>69</v>
      </c>
      <c r="B20" s="12" t="s">
        <v>343</v>
      </c>
      <c r="C20" s="12" t="s">
        <v>358</v>
      </c>
      <c r="D20" s="33">
        <v>46249</v>
      </c>
      <c r="E20" s="12" t="s">
        <v>70</v>
      </c>
      <c r="F20" s="12" t="s">
        <v>354</v>
      </c>
      <c r="G20" s="31" t="s">
        <v>267</v>
      </c>
      <c r="H20" s="12"/>
      <c r="I20" s="12" t="s">
        <v>27</v>
      </c>
      <c r="J20" s="12" t="s">
        <v>28</v>
      </c>
      <c r="K20" s="12" t="s">
        <v>27</v>
      </c>
      <c r="L20" s="12"/>
      <c r="M20" s="12"/>
      <c r="N20" s="12"/>
      <c r="O20" s="15">
        <v>36</v>
      </c>
      <c r="P20" s="12">
        <v>0</v>
      </c>
      <c r="Q20" s="12"/>
      <c r="R20" s="12"/>
      <c r="S20" s="12" t="s">
        <v>346</v>
      </c>
      <c r="T20" s="12" t="s">
        <v>347</v>
      </c>
    </row>
    <row r="21" spans="1:20" ht="15.5" customHeight="1" x14ac:dyDescent="0.3">
      <c r="A21" s="12" t="s">
        <v>71</v>
      </c>
      <c r="B21" s="12" t="s">
        <v>343</v>
      </c>
      <c r="C21" s="12" t="s">
        <v>358</v>
      </c>
      <c r="D21" s="33">
        <v>46249</v>
      </c>
      <c r="E21" s="12" t="s">
        <v>72</v>
      </c>
      <c r="F21" s="12" t="s">
        <v>353</v>
      </c>
      <c r="G21" s="31" t="s">
        <v>296</v>
      </c>
      <c r="H21" s="12"/>
      <c r="I21" s="12" t="s">
        <v>27</v>
      </c>
      <c r="J21" s="12" t="s">
        <v>28</v>
      </c>
      <c r="K21" s="12"/>
      <c r="L21" s="12"/>
      <c r="M21" s="12"/>
      <c r="N21" s="12"/>
      <c r="O21" s="15">
        <v>36</v>
      </c>
      <c r="P21" s="12">
        <v>0</v>
      </c>
      <c r="Q21" s="12"/>
      <c r="R21" s="12"/>
      <c r="S21" s="12" t="s">
        <v>346</v>
      </c>
      <c r="T21" s="12" t="s">
        <v>347</v>
      </c>
    </row>
    <row r="22" spans="1:20" ht="15.5" customHeight="1" x14ac:dyDescent="0.3">
      <c r="A22" s="12" t="s">
        <v>73</v>
      </c>
      <c r="B22" s="12" t="s">
        <v>343</v>
      </c>
      <c r="C22" s="12" t="s">
        <v>352</v>
      </c>
      <c r="D22" s="33">
        <v>46252</v>
      </c>
      <c r="E22" s="12" t="s">
        <v>74</v>
      </c>
      <c r="F22" s="12" t="s">
        <v>345</v>
      </c>
      <c r="G22" s="31" t="s">
        <v>243</v>
      </c>
      <c r="H22" s="12" t="s">
        <v>27</v>
      </c>
      <c r="I22" s="12" t="s">
        <v>27</v>
      </c>
      <c r="J22" s="12" t="s">
        <v>27</v>
      </c>
      <c r="K22" s="12" t="s">
        <v>27</v>
      </c>
      <c r="L22" s="12" t="s">
        <v>28</v>
      </c>
      <c r="M22" s="12" t="s">
        <v>28</v>
      </c>
      <c r="N22" s="12" t="s">
        <v>27</v>
      </c>
      <c r="O22" s="15">
        <v>100</v>
      </c>
      <c r="P22" s="12">
        <v>1</v>
      </c>
      <c r="Q22" s="12" t="s">
        <v>27</v>
      </c>
      <c r="R22" s="12"/>
      <c r="S22" s="12" t="s">
        <v>346</v>
      </c>
      <c r="T22" s="12" t="s">
        <v>347</v>
      </c>
    </row>
    <row r="23" spans="1:20" ht="15.5" customHeight="1" x14ac:dyDescent="0.3">
      <c r="A23" s="12" t="s">
        <v>75</v>
      </c>
      <c r="B23" s="12" t="s">
        <v>343</v>
      </c>
      <c r="C23" s="12" t="s">
        <v>358</v>
      </c>
      <c r="D23" s="33">
        <v>46252</v>
      </c>
      <c r="E23" s="12" t="s">
        <v>76</v>
      </c>
      <c r="F23" s="12" t="s">
        <v>354</v>
      </c>
      <c r="G23" s="31" t="s">
        <v>267</v>
      </c>
      <c r="H23" s="12" t="s">
        <v>28</v>
      </c>
      <c r="I23" s="12" t="s">
        <v>28</v>
      </c>
      <c r="J23" s="12"/>
      <c r="K23" s="12"/>
      <c r="L23" s="12" t="s">
        <v>27</v>
      </c>
      <c r="M23" s="12"/>
      <c r="N23" s="12"/>
      <c r="O23" s="15">
        <v>55</v>
      </c>
      <c r="P23" s="12">
        <v>0</v>
      </c>
      <c r="Q23" s="12" t="s">
        <v>27</v>
      </c>
      <c r="R23" s="12"/>
      <c r="S23" s="12" t="s">
        <v>346</v>
      </c>
      <c r="T23" s="12" t="s">
        <v>347</v>
      </c>
    </row>
    <row r="24" spans="1:20" ht="15.5" customHeight="1" x14ac:dyDescent="0.3">
      <c r="A24" s="12" t="s">
        <v>77</v>
      </c>
      <c r="B24" s="12" t="s">
        <v>343</v>
      </c>
      <c r="C24" s="12" t="s">
        <v>358</v>
      </c>
      <c r="D24" s="33">
        <v>46252</v>
      </c>
      <c r="E24" s="12" t="s">
        <v>78</v>
      </c>
      <c r="F24" s="12" t="s">
        <v>353</v>
      </c>
      <c r="G24" s="31" t="s">
        <v>296</v>
      </c>
      <c r="H24" s="12" t="s">
        <v>27</v>
      </c>
      <c r="I24" s="12" t="s">
        <v>27</v>
      </c>
      <c r="J24" s="12"/>
      <c r="K24" s="12" t="s">
        <v>28</v>
      </c>
      <c r="L24" s="12" t="s">
        <v>28</v>
      </c>
      <c r="M24" s="12"/>
      <c r="N24" s="12"/>
      <c r="O24" s="15">
        <v>64</v>
      </c>
      <c r="P24" s="12">
        <v>0</v>
      </c>
      <c r="Q24" s="12" t="s">
        <v>28</v>
      </c>
      <c r="R24" s="12"/>
      <c r="S24" s="12" t="s">
        <v>346</v>
      </c>
      <c r="T24" s="12" t="s">
        <v>347</v>
      </c>
    </row>
    <row r="25" spans="1:20" ht="15.5" customHeight="1" x14ac:dyDescent="0.3">
      <c r="A25" s="12" t="s">
        <v>79</v>
      </c>
      <c r="B25" s="12" t="s">
        <v>343</v>
      </c>
      <c r="C25" s="12" t="s">
        <v>358</v>
      </c>
      <c r="D25" s="33">
        <v>46252</v>
      </c>
      <c r="E25" s="12" t="s">
        <v>80</v>
      </c>
      <c r="F25" s="12" t="s">
        <v>353</v>
      </c>
      <c r="G25" s="31" t="s">
        <v>296</v>
      </c>
      <c r="H25" s="12"/>
      <c r="I25" s="12" t="s">
        <v>27</v>
      </c>
      <c r="J25" s="12"/>
      <c r="K25" s="12" t="s">
        <v>27</v>
      </c>
      <c r="L25" s="12" t="s">
        <v>27</v>
      </c>
      <c r="M25" s="12" t="s">
        <v>27</v>
      </c>
      <c r="N25" s="12" t="s">
        <v>27</v>
      </c>
      <c r="O25" s="15">
        <v>73</v>
      </c>
      <c r="P25" s="12">
        <v>0</v>
      </c>
      <c r="Q25" s="12" t="s">
        <v>27</v>
      </c>
      <c r="R25" s="12"/>
      <c r="S25" s="12" t="s">
        <v>346</v>
      </c>
      <c r="T25" s="12" t="s">
        <v>347</v>
      </c>
    </row>
    <row r="26" spans="1:20" ht="15.5" customHeight="1" x14ac:dyDescent="0.3">
      <c r="A26" s="12" t="s">
        <v>81</v>
      </c>
      <c r="B26" s="12" t="s">
        <v>343</v>
      </c>
      <c r="C26" s="12" t="s">
        <v>358</v>
      </c>
      <c r="D26" s="33">
        <v>46252</v>
      </c>
      <c r="E26" s="12" t="s">
        <v>82</v>
      </c>
      <c r="F26" s="12" t="s">
        <v>353</v>
      </c>
      <c r="G26" s="31" t="s">
        <v>296</v>
      </c>
      <c r="H26" s="12" t="s">
        <v>27</v>
      </c>
      <c r="I26" s="12" t="s">
        <v>27</v>
      </c>
      <c r="J26" s="12" t="s">
        <v>27</v>
      </c>
      <c r="K26" s="12" t="s">
        <v>27</v>
      </c>
      <c r="L26" s="12" t="s">
        <v>27</v>
      </c>
      <c r="M26" s="12" t="s">
        <v>27</v>
      </c>
      <c r="N26" s="12" t="s">
        <v>27</v>
      </c>
      <c r="O26" s="15">
        <v>91</v>
      </c>
      <c r="P26" s="12">
        <v>1</v>
      </c>
      <c r="Q26" s="12" t="s">
        <v>27</v>
      </c>
      <c r="R26" s="12"/>
      <c r="S26" s="12" t="s">
        <v>346</v>
      </c>
      <c r="T26" s="12" t="s">
        <v>347</v>
      </c>
    </row>
    <row r="27" spans="1:20" ht="15.5" customHeight="1" x14ac:dyDescent="0.3">
      <c r="A27" s="12" t="s">
        <v>83</v>
      </c>
      <c r="B27" s="12" t="s">
        <v>343</v>
      </c>
      <c r="C27" s="12" t="s">
        <v>358</v>
      </c>
      <c r="D27" s="33">
        <v>46254</v>
      </c>
      <c r="E27" s="12" t="s">
        <v>84</v>
      </c>
      <c r="F27" s="12" t="s">
        <v>345</v>
      </c>
      <c r="G27" s="31" t="s">
        <v>243</v>
      </c>
      <c r="H27" s="12" t="s">
        <v>27</v>
      </c>
      <c r="I27" s="12" t="s">
        <v>27</v>
      </c>
      <c r="J27" s="12"/>
      <c r="K27" s="12" t="s">
        <v>27</v>
      </c>
      <c r="L27" s="12" t="s">
        <v>28</v>
      </c>
      <c r="M27" s="12" t="s">
        <v>28</v>
      </c>
      <c r="N27" s="12" t="s">
        <v>27</v>
      </c>
      <c r="O27" s="15">
        <v>91</v>
      </c>
      <c r="P27" s="12">
        <v>0</v>
      </c>
      <c r="Q27" s="12" t="s">
        <v>85</v>
      </c>
      <c r="R27" s="12"/>
      <c r="S27" s="12" t="s">
        <v>346</v>
      </c>
      <c r="T27" s="12" t="s">
        <v>347</v>
      </c>
    </row>
    <row r="28" spans="1:20" ht="15.5" customHeight="1" x14ac:dyDescent="0.3">
      <c r="A28" s="12" t="s">
        <v>86</v>
      </c>
      <c r="B28" s="12" t="s">
        <v>258</v>
      </c>
      <c r="C28" s="12" t="s">
        <v>259</v>
      </c>
      <c r="D28" s="33">
        <v>46248</v>
      </c>
      <c r="E28" s="12" t="s">
        <v>359</v>
      </c>
      <c r="F28" s="12" t="s">
        <v>353</v>
      </c>
      <c r="G28" s="31" t="s">
        <v>267</v>
      </c>
      <c r="H28" s="12" t="s">
        <v>360</v>
      </c>
      <c r="I28" s="12" t="s">
        <v>27</v>
      </c>
      <c r="J28" s="12" t="s">
        <v>361</v>
      </c>
      <c r="K28" s="12" t="s">
        <v>27</v>
      </c>
      <c r="L28" s="12" t="s">
        <v>28</v>
      </c>
      <c r="M28" s="12" t="s">
        <v>28</v>
      </c>
      <c r="N28" s="12" t="s">
        <v>362</v>
      </c>
      <c r="O28" s="15">
        <v>100</v>
      </c>
      <c r="P28" s="12">
        <v>0</v>
      </c>
      <c r="Q28" s="12" t="s">
        <v>28</v>
      </c>
      <c r="R28" s="12" t="s">
        <v>363</v>
      </c>
      <c r="S28" s="12" t="s">
        <v>346</v>
      </c>
      <c r="T28" s="12" t="s">
        <v>347</v>
      </c>
    </row>
    <row r="29" spans="1:20" ht="15.5" customHeight="1" x14ac:dyDescent="0.3">
      <c r="A29" s="12" t="s">
        <v>88</v>
      </c>
      <c r="B29" s="12" t="s">
        <v>258</v>
      </c>
      <c r="C29" s="12" t="s">
        <v>364</v>
      </c>
      <c r="D29" s="33">
        <v>46248</v>
      </c>
      <c r="E29" s="12" t="s">
        <v>365</v>
      </c>
      <c r="F29" s="12" t="s">
        <v>353</v>
      </c>
      <c r="G29" s="31" t="s">
        <v>296</v>
      </c>
      <c r="H29" s="12"/>
      <c r="I29" s="12"/>
      <c r="J29" s="12" t="s">
        <v>366</v>
      </c>
      <c r="K29" s="12"/>
      <c r="L29" s="12"/>
      <c r="M29" s="12"/>
      <c r="N29" s="12"/>
      <c r="O29" s="15">
        <v>18</v>
      </c>
      <c r="P29" s="12">
        <v>0</v>
      </c>
      <c r="Q29" s="12" t="s">
        <v>366</v>
      </c>
      <c r="R29" s="12" t="s">
        <v>367</v>
      </c>
      <c r="S29" s="12" t="s">
        <v>346</v>
      </c>
      <c r="T29" s="12" t="s">
        <v>347</v>
      </c>
    </row>
    <row r="30" spans="1:20" ht="15.5" customHeight="1" x14ac:dyDescent="0.3">
      <c r="A30" s="12" t="s">
        <v>90</v>
      </c>
      <c r="B30" s="12" t="s">
        <v>258</v>
      </c>
      <c r="C30" s="12" t="s">
        <v>264</v>
      </c>
      <c r="D30" s="33">
        <v>46248</v>
      </c>
      <c r="E30" s="12" t="s">
        <v>368</v>
      </c>
      <c r="F30" s="12" t="s">
        <v>353</v>
      </c>
      <c r="G30" s="31" t="s">
        <v>267</v>
      </c>
      <c r="H30" s="12"/>
      <c r="I30" s="12" t="s">
        <v>27</v>
      </c>
      <c r="J30" s="12" t="s">
        <v>366</v>
      </c>
      <c r="K30" s="12" t="s">
        <v>369</v>
      </c>
      <c r="L30" s="12" t="s">
        <v>28</v>
      </c>
      <c r="M30" s="12" t="s">
        <v>28</v>
      </c>
      <c r="N30" s="12" t="s">
        <v>370</v>
      </c>
      <c r="O30" s="15">
        <v>82</v>
      </c>
      <c r="P30" s="12">
        <v>4</v>
      </c>
      <c r="Q30" s="12" t="s">
        <v>371</v>
      </c>
      <c r="R30" s="12"/>
      <c r="S30" s="12" t="s">
        <v>346</v>
      </c>
      <c r="T30" s="12" t="s">
        <v>347</v>
      </c>
    </row>
    <row r="31" spans="1:20" ht="15.5" customHeight="1" x14ac:dyDescent="0.3">
      <c r="A31" s="12" t="s">
        <v>92</v>
      </c>
      <c r="B31" s="12" t="s">
        <v>258</v>
      </c>
      <c r="C31" s="12" t="s">
        <v>330</v>
      </c>
      <c r="D31" s="33">
        <v>46247</v>
      </c>
      <c r="E31" s="12" t="s">
        <v>372</v>
      </c>
      <c r="F31" s="12" t="s">
        <v>353</v>
      </c>
      <c r="G31" s="31" t="s">
        <v>267</v>
      </c>
      <c r="H31" s="12"/>
      <c r="I31" s="12" t="s">
        <v>27</v>
      </c>
      <c r="J31" s="12" t="s">
        <v>373</v>
      </c>
      <c r="K31" s="12" t="s">
        <v>374</v>
      </c>
      <c r="L31" s="12" t="s">
        <v>28</v>
      </c>
      <c r="M31" s="12" t="s">
        <v>28</v>
      </c>
      <c r="N31" s="12" t="s">
        <v>27</v>
      </c>
      <c r="O31" s="15">
        <v>91</v>
      </c>
      <c r="P31" s="12">
        <v>2</v>
      </c>
      <c r="Q31" s="12" t="s">
        <v>375</v>
      </c>
      <c r="R31" s="12"/>
      <c r="S31" s="12" t="s">
        <v>346</v>
      </c>
      <c r="T31" s="12" t="s">
        <v>347</v>
      </c>
    </row>
    <row r="32" spans="1:20" ht="15.5" customHeight="1" x14ac:dyDescent="0.3">
      <c r="A32" s="12" t="s">
        <v>94</v>
      </c>
      <c r="B32" s="12" t="s">
        <v>258</v>
      </c>
      <c r="C32" s="12" t="s">
        <v>316</v>
      </c>
      <c r="D32" s="33">
        <v>46248</v>
      </c>
      <c r="E32" s="12" t="s">
        <v>376</v>
      </c>
      <c r="F32" s="12" t="s">
        <v>354</v>
      </c>
      <c r="G32" s="31" t="s">
        <v>355</v>
      </c>
      <c r="H32" s="12"/>
      <c r="I32" s="12" t="s">
        <v>28</v>
      </c>
      <c r="J32" s="12" t="s">
        <v>377</v>
      </c>
      <c r="K32" s="12" t="s">
        <v>28</v>
      </c>
      <c r="L32" s="12" t="s">
        <v>378</v>
      </c>
      <c r="M32" s="12" t="s">
        <v>378</v>
      </c>
      <c r="N32" s="12" t="s">
        <v>379</v>
      </c>
      <c r="O32" s="15">
        <v>91</v>
      </c>
      <c r="P32" s="12">
        <v>0</v>
      </c>
      <c r="Q32" s="12" t="s">
        <v>380</v>
      </c>
      <c r="R32" s="12"/>
      <c r="S32" s="12" t="s">
        <v>346</v>
      </c>
      <c r="T32" s="12" t="s">
        <v>347</v>
      </c>
    </row>
    <row r="33" spans="1:20" ht="15.5" customHeight="1" x14ac:dyDescent="0.3">
      <c r="A33" s="12" t="s">
        <v>96</v>
      </c>
      <c r="B33" s="12" t="s">
        <v>258</v>
      </c>
      <c r="C33" s="12" t="s">
        <v>326</v>
      </c>
      <c r="D33" s="33">
        <v>46252</v>
      </c>
      <c r="E33" s="12" t="s">
        <v>381</v>
      </c>
      <c r="F33" s="12" t="s">
        <v>354</v>
      </c>
      <c r="G33" s="31" t="s">
        <v>267</v>
      </c>
      <c r="H33" s="12" t="s">
        <v>382</v>
      </c>
      <c r="I33" s="12" t="s">
        <v>27</v>
      </c>
      <c r="J33" s="12" t="s">
        <v>383</v>
      </c>
      <c r="K33" s="12" t="s">
        <v>27</v>
      </c>
      <c r="L33" s="12" t="s">
        <v>28</v>
      </c>
      <c r="M33" s="12" t="s">
        <v>28</v>
      </c>
      <c r="N33" s="12" t="s">
        <v>384</v>
      </c>
      <c r="O33" s="15">
        <v>100</v>
      </c>
      <c r="P33" s="12">
        <v>8</v>
      </c>
      <c r="Q33" s="12" t="s">
        <v>385</v>
      </c>
      <c r="R33" s="12"/>
      <c r="S33" s="12" t="s">
        <v>346</v>
      </c>
      <c r="T33" s="12" t="s">
        <v>347</v>
      </c>
    </row>
    <row r="34" spans="1:20" ht="15.5" customHeight="1" x14ac:dyDescent="0.3">
      <c r="A34" s="12" t="s">
        <v>98</v>
      </c>
      <c r="B34" s="12" t="s">
        <v>258</v>
      </c>
      <c r="C34" s="12" t="s">
        <v>326</v>
      </c>
      <c r="D34" s="33">
        <v>46252</v>
      </c>
      <c r="E34" s="12" t="s">
        <v>386</v>
      </c>
      <c r="F34" s="12" t="s">
        <v>345</v>
      </c>
      <c r="G34" s="31" t="s">
        <v>296</v>
      </c>
      <c r="H34" s="12" t="s">
        <v>27</v>
      </c>
      <c r="I34" s="12" t="s">
        <v>27</v>
      </c>
      <c r="J34" s="12" t="s">
        <v>27</v>
      </c>
      <c r="K34" s="12" t="s">
        <v>27</v>
      </c>
      <c r="L34" s="12" t="s">
        <v>387</v>
      </c>
      <c r="M34" s="12" t="s">
        <v>27</v>
      </c>
      <c r="N34" s="12" t="s">
        <v>27</v>
      </c>
      <c r="O34" s="15">
        <v>100</v>
      </c>
      <c r="P34" s="12">
        <v>3</v>
      </c>
      <c r="Q34" s="12" t="s">
        <v>388</v>
      </c>
      <c r="R34" s="12"/>
      <c r="S34" s="12" t="s">
        <v>346</v>
      </c>
      <c r="T34" s="12" t="s">
        <v>347</v>
      </c>
    </row>
    <row r="35" spans="1:20" ht="15.5" customHeight="1" x14ac:dyDescent="0.3">
      <c r="A35" s="12" t="s">
        <v>99</v>
      </c>
      <c r="B35" s="12" t="s">
        <v>258</v>
      </c>
      <c r="C35" s="12" t="s">
        <v>301</v>
      </c>
      <c r="D35" s="33">
        <v>46247</v>
      </c>
      <c r="E35" s="12" t="s">
        <v>389</v>
      </c>
      <c r="F35" s="12" t="s">
        <v>353</v>
      </c>
      <c r="G35" s="31" t="s">
        <v>296</v>
      </c>
      <c r="H35" s="12" t="s">
        <v>27</v>
      </c>
      <c r="I35" s="12" t="s">
        <v>27</v>
      </c>
      <c r="J35" s="12" t="s">
        <v>27</v>
      </c>
      <c r="K35" s="12" t="s">
        <v>27</v>
      </c>
      <c r="L35" s="12" t="s">
        <v>390</v>
      </c>
      <c r="M35" s="12" t="s">
        <v>28</v>
      </c>
      <c r="N35" s="12" t="s">
        <v>27</v>
      </c>
      <c r="O35" s="15">
        <v>100</v>
      </c>
      <c r="P35" s="12">
        <v>0</v>
      </c>
      <c r="Q35" s="12" t="s">
        <v>28</v>
      </c>
      <c r="R35" s="12"/>
      <c r="S35" s="12" t="s">
        <v>346</v>
      </c>
      <c r="T35" s="12" t="s">
        <v>347</v>
      </c>
    </row>
    <row r="36" spans="1:20" ht="15.5" customHeight="1" x14ac:dyDescent="0.3">
      <c r="A36" s="12" t="s">
        <v>101</v>
      </c>
      <c r="B36" s="12" t="s">
        <v>258</v>
      </c>
      <c r="C36" s="12" t="s">
        <v>301</v>
      </c>
      <c r="D36" s="33">
        <v>46248</v>
      </c>
      <c r="E36" s="12" t="s">
        <v>391</v>
      </c>
      <c r="F36" s="12" t="s">
        <v>345</v>
      </c>
      <c r="G36" s="31" t="s">
        <v>296</v>
      </c>
      <c r="H36" s="12" t="s">
        <v>27</v>
      </c>
      <c r="I36" s="12" t="s">
        <v>27</v>
      </c>
      <c r="J36" s="12" t="s">
        <v>27</v>
      </c>
      <c r="K36" s="12" t="s">
        <v>392</v>
      </c>
      <c r="L36" s="12" t="s">
        <v>393</v>
      </c>
      <c r="M36" s="12" t="s">
        <v>394</v>
      </c>
      <c r="N36" s="12" t="s">
        <v>27</v>
      </c>
      <c r="O36" s="15">
        <v>100</v>
      </c>
      <c r="P36" s="12">
        <v>0</v>
      </c>
      <c r="Q36" s="12" t="s">
        <v>27</v>
      </c>
      <c r="R36" s="12"/>
      <c r="S36" s="12" t="s">
        <v>346</v>
      </c>
      <c r="T36" s="12" t="s">
        <v>347</v>
      </c>
    </row>
    <row r="37" spans="1:20" ht="15.5" customHeight="1" x14ac:dyDescent="0.3">
      <c r="A37" s="12" t="s">
        <v>102</v>
      </c>
      <c r="B37" s="12" t="s">
        <v>238</v>
      </c>
      <c r="C37" s="12" t="s">
        <v>285</v>
      </c>
      <c r="D37" s="33">
        <v>46247</v>
      </c>
      <c r="E37" s="12" t="s">
        <v>395</v>
      </c>
      <c r="F37" s="12" t="s">
        <v>353</v>
      </c>
      <c r="G37" s="31" t="s">
        <v>267</v>
      </c>
      <c r="H37" s="12" t="s">
        <v>382</v>
      </c>
      <c r="I37" s="12" t="s">
        <v>378</v>
      </c>
      <c r="J37" s="12" t="s">
        <v>396</v>
      </c>
      <c r="K37" s="12" t="s">
        <v>27</v>
      </c>
      <c r="L37" s="12" t="s">
        <v>378</v>
      </c>
      <c r="M37" s="12" t="s">
        <v>378</v>
      </c>
      <c r="N37" s="12" t="s">
        <v>27</v>
      </c>
      <c r="O37" s="15">
        <v>100</v>
      </c>
      <c r="P37" s="12">
        <v>2</v>
      </c>
      <c r="Q37" s="12" t="s">
        <v>397</v>
      </c>
      <c r="R37" s="12"/>
      <c r="S37" s="12" t="s">
        <v>346</v>
      </c>
      <c r="T37" s="12" t="s">
        <v>347</v>
      </c>
    </row>
    <row r="38" spans="1:20" ht="15.5" customHeight="1" x14ac:dyDescent="0.3">
      <c r="A38" s="12" t="s">
        <v>104</v>
      </c>
      <c r="B38" s="12" t="s">
        <v>238</v>
      </c>
      <c r="C38" s="12" t="s">
        <v>321</v>
      </c>
      <c r="D38" s="33">
        <v>46249</v>
      </c>
      <c r="E38" s="12" t="s">
        <v>398</v>
      </c>
      <c r="F38" s="12" t="s">
        <v>349</v>
      </c>
      <c r="G38" s="31" t="s">
        <v>267</v>
      </c>
      <c r="H38" s="12" t="s">
        <v>399</v>
      </c>
      <c r="I38" s="12" t="s">
        <v>28</v>
      </c>
      <c r="J38" s="12" t="s">
        <v>400</v>
      </c>
      <c r="K38" s="12" t="s">
        <v>28</v>
      </c>
      <c r="L38" s="12" t="s">
        <v>28</v>
      </c>
      <c r="M38" s="12" t="s">
        <v>28</v>
      </c>
      <c r="N38" s="12" t="s">
        <v>401</v>
      </c>
      <c r="O38" s="15">
        <v>100</v>
      </c>
      <c r="P38" s="12">
        <v>7</v>
      </c>
      <c r="Q38" s="12" t="s">
        <v>402</v>
      </c>
      <c r="R38" s="12"/>
      <c r="S38" s="12" t="s">
        <v>346</v>
      </c>
      <c r="T38" s="12" t="s">
        <v>347</v>
      </c>
    </row>
    <row r="39" spans="1:20" ht="15.5" customHeight="1" x14ac:dyDescent="0.3">
      <c r="A39" s="12" t="s">
        <v>106</v>
      </c>
      <c r="B39" s="12" t="s">
        <v>238</v>
      </c>
      <c r="C39" s="12" t="s">
        <v>403</v>
      </c>
      <c r="D39" s="33">
        <v>46248</v>
      </c>
      <c r="E39" s="12" t="s">
        <v>404</v>
      </c>
      <c r="F39" s="12" t="s">
        <v>349</v>
      </c>
      <c r="G39" s="31" t="s">
        <v>267</v>
      </c>
      <c r="H39" s="12" t="s">
        <v>405</v>
      </c>
      <c r="I39" s="12" t="s">
        <v>406</v>
      </c>
      <c r="J39" s="12" t="s">
        <v>407</v>
      </c>
      <c r="K39" s="12" t="s">
        <v>28</v>
      </c>
      <c r="L39" s="12" t="s">
        <v>378</v>
      </c>
      <c r="M39" s="12" t="s">
        <v>378</v>
      </c>
      <c r="N39" s="12" t="s">
        <v>408</v>
      </c>
      <c r="O39" s="15">
        <v>100</v>
      </c>
      <c r="P39" s="12">
        <v>0</v>
      </c>
      <c r="Q39" s="12" t="s">
        <v>409</v>
      </c>
      <c r="R39" s="12"/>
      <c r="S39" s="12" t="s">
        <v>346</v>
      </c>
      <c r="T39" s="12" t="s">
        <v>347</v>
      </c>
    </row>
    <row r="40" spans="1:20" ht="15.5" customHeight="1" x14ac:dyDescent="0.3">
      <c r="A40" s="12" t="s">
        <v>108</v>
      </c>
      <c r="B40" s="12" t="s">
        <v>238</v>
      </c>
      <c r="C40" s="12" t="s">
        <v>281</v>
      </c>
      <c r="D40" s="33">
        <v>46247</v>
      </c>
      <c r="E40" s="12" t="s">
        <v>410</v>
      </c>
      <c r="F40" s="12" t="s">
        <v>349</v>
      </c>
      <c r="G40" s="31" t="s">
        <v>267</v>
      </c>
      <c r="H40" s="12" t="s">
        <v>411</v>
      </c>
      <c r="I40" s="12" t="s">
        <v>27</v>
      </c>
      <c r="J40" s="12" t="s">
        <v>412</v>
      </c>
      <c r="K40" s="12" t="s">
        <v>27</v>
      </c>
      <c r="L40" s="12" t="s">
        <v>28</v>
      </c>
      <c r="M40" s="12" t="s">
        <v>28</v>
      </c>
      <c r="N40" s="12" t="s">
        <v>412</v>
      </c>
      <c r="O40" s="15">
        <v>100</v>
      </c>
      <c r="P40" s="12">
        <v>0</v>
      </c>
      <c r="Q40" s="12" t="s">
        <v>412</v>
      </c>
      <c r="R40" s="12"/>
      <c r="S40" s="12" t="s">
        <v>346</v>
      </c>
      <c r="T40" s="12" t="s">
        <v>347</v>
      </c>
    </row>
    <row r="41" spans="1:20" ht="15.5" customHeight="1" x14ac:dyDescent="0.3">
      <c r="A41" s="12" t="s">
        <v>110</v>
      </c>
      <c r="B41" s="12" t="s">
        <v>238</v>
      </c>
      <c r="C41" s="12" t="s">
        <v>413</v>
      </c>
      <c r="D41" s="33">
        <v>46247</v>
      </c>
      <c r="E41" s="12" t="s">
        <v>414</v>
      </c>
      <c r="F41" s="12" t="s">
        <v>353</v>
      </c>
      <c r="G41" s="31" t="s">
        <v>267</v>
      </c>
      <c r="H41" s="12" t="s">
        <v>415</v>
      </c>
      <c r="I41" s="12" t="s">
        <v>27</v>
      </c>
      <c r="J41" s="12" t="s">
        <v>416</v>
      </c>
      <c r="K41" s="12" t="s">
        <v>27</v>
      </c>
      <c r="L41" s="12" t="s">
        <v>28</v>
      </c>
      <c r="M41" s="12" t="s">
        <v>28</v>
      </c>
      <c r="N41" s="12" t="s">
        <v>417</v>
      </c>
      <c r="O41" s="15">
        <v>100</v>
      </c>
      <c r="P41" s="12">
        <v>0</v>
      </c>
      <c r="Q41" s="12" t="s">
        <v>418</v>
      </c>
      <c r="R41" s="12"/>
      <c r="S41" s="12" t="s">
        <v>346</v>
      </c>
      <c r="T41" s="12" t="s">
        <v>347</v>
      </c>
    </row>
    <row r="42" spans="1:20" ht="15.5" customHeight="1" x14ac:dyDescent="0.3">
      <c r="A42" s="12" t="s">
        <v>112</v>
      </c>
      <c r="B42" s="12" t="s">
        <v>238</v>
      </c>
      <c r="C42" s="12" t="s">
        <v>305</v>
      </c>
      <c r="D42" s="33">
        <v>46247</v>
      </c>
      <c r="E42" s="12" t="s">
        <v>419</v>
      </c>
      <c r="F42" s="12" t="s">
        <v>354</v>
      </c>
      <c r="G42" s="31" t="s">
        <v>267</v>
      </c>
      <c r="H42" s="12" t="s">
        <v>420</v>
      </c>
      <c r="I42" s="12" t="s">
        <v>28</v>
      </c>
      <c r="J42" s="12" t="s">
        <v>421</v>
      </c>
      <c r="K42" s="12" t="s">
        <v>28</v>
      </c>
      <c r="L42" s="12" t="s">
        <v>28</v>
      </c>
      <c r="M42" s="12" t="s">
        <v>378</v>
      </c>
      <c r="N42" s="12" t="s">
        <v>422</v>
      </c>
      <c r="O42" s="15">
        <v>100</v>
      </c>
      <c r="P42" s="12">
        <v>0</v>
      </c>
      <c r="Q42" s="12" t="s">
        <v>423</v>
      </c>
      <c r="R42" s="12"/>
      <c r="S42" s="12" t="s">
        <v>346</v>
      </c>
      <c r="T42" s="12" t="s">
        <v>347</v>
      </c>
    </row>
    <row r="43" spans="1:20" ht="15.5" customHeight="1" x14ac:dyDescent="0.3">
      <c r="A43" s="12" t="s">
        <v>114</v>
      </c>
      <c r="B43" s="12" t="s">
        <v>238</v>
      </c>
      <c r="C43" s="12" t="s">
        <v>424</v>
      </c>
      <c r="D43" s="33">
        <v>46248</v>
      </c>
      <c r="E43" s="12" t="s">
        <v>425</v>
      </c>
      <c r="F43" s="12" t="s">
        <v>355</v>
      </c>
      <c r="G43" s="31" t="s">
        <v>355</v>
      </c>
      <c r="H43" s="12" t="s">
        <v>426</v>
      </c>
      <c r="I43" s="12" t="s">
        <v>28</v>
      </c>
      <c r="J43" s="12" t="s">
        <v>427</v>
      </c>
      <c r="K43" s="12" t="s">
        <v>28</v>
      </c>
      <c r="L43" s="12" t="s">
        <v>28</v>
      </c>
      <c r="M43" s="12" t="s">
        <v>28</v>
      </c>
      <c r="N43" s="12" t="s">
        <v>428</v>
      </c>
      <c r="O43" s="15">
        <v>100</v>
      </c>
      <c r="P43" s="12">
        <v>0</v>
      </c>
      <c r="Q43" s="12" t="s">
        <v>429</v>
      </c>
      <c r="R43" s="12"/>
      <c r="S43" s="12" t="s">
        <v>346</v>
      </c>
      <c r="T43" s="12" t="s">
        <v>347</v>
      </c>
    </row>
    <row r="44" spans="1:20" ht="15.5" customHeight="1" x14ac:dyDescent="0.3">
      <c r="A44" s="12" t="s">
        <v>116</v>
      </c>
      <c r="B44" s="12" t="s">
        <v>238</v>
      </c>
      <c r="C44" s="12" t="s">
        <v>305</v>
      </c>
      <c r="D44" s="33">
        <v>46247</v>
      </c>
      <c r="E44" s="12" t="s">
        <v>430</v>
      </c>
      <c r="F44" s="12" t="s">
        <v>353</v>
      </c>
      <c r="G44" s="31" t="s">
        <v>267</v>
      </c>
      <c r="H44" s="12" t="s">
        <v>382</v>
      </c>
      <c r="I44" s="12" t="s">
        <v>27</v>
      </c>
      <c r="J44" s="12" t="s">
        <v>431</v>
      </c>
      <c r="K44" s="12" t="s">
        <v>27</v>
      </c>
      <c r="L44" s="12" t="s">
        <v>28</v>
      </c>
      <c r="M44" s="12" t="s">
        <v>378</v>
      </c>
      <c r="N44" s="12" t="s">
        <v>432</v>
      </c>
      <c r="O44" s="15">
        <v>100</v>
      </c>
      <c r="P44" s="12">
        <v>0</v>
      </c>
      <c r="Q44" s="12" t="s">
        <v>433</v>
      </c>
      <c r="R44" s="12"/>
      <c r="S44" s="12" t="s">
        <v>346</v>
      </c>
      <c r="T44" s="12" t="s">
        <v>347</v>
      </c>
    </row>
    <row r="45" spans="1:20" ht="15.5" customHeight="1" x14ac:dyDescent="0.3">
      <c r="A45" s="12" t="s">
        <v>117</v>
      </c>
      <c r="B45" s="12" t="s">
        <v>238</v>
      </c>
      <c r="C45" s="12" t="s">
        <v>239</v>
      </c>
      <c r="D45" s="33">
        <v>46247</v>
      </c>
      <c r="E45" s="12" t="s">
        <v>434</v>
      </c>
      <c r="F45" s="12" t="s">
        <v>353</v>
      </c>
      <c r="G45" s="31" t="s">
        <v>296</v>
      </c>
      <c r="H45" s="12" t="s">
        <v>27</v>
      </c>
      <c r="I45" s="12" t="s">
        <v>27</v>
      </c>
      <c r="J45" s="12" t="s">
        <v>27</v>
      </c>
      <c r="K45" s="12" t="s">
        <v>27</v>
      </c>
      <c r="L45" s="12" t="s">
        <v>28</v>
      </c>
      <c r="M45" s="12" t="s">
        <v>28</v>
      </c>
      <c r="N45" s="12" t="s">
        <v>27</v>
      </c>
      <c r="O45" s="15">
        <v>100</v>
      </c>
      <c r="P45" s="12">
        <v>4</v>
      </c>
      <c r="Q45" s="12" t="s">
        <v>435</v>
      </c>
      <c r="R45" s="12"/>
      <c r="S45" s="12" t="s">
        <v>346</v>
      </c>
      <c r="T45" s="12" t="s">
        <v>347</v>
      </c>
    </row>
    <row r="46" spans="1:20" ht="15.5" customHeight="1" x14ac:dyDescent="0.3">
      <c r="A46" s="12" t="s">
        <v>119</v>
      </c>
      <c r="B46" s="12" t="s">
        <v>238</v>
      </c>
      <c r="C46" s="12" t="s">
        <v>436</v>
      </c>
      <c r="D46" s="33">
        <v>46248</v>
      </c>
      <c r="E46" s="12" t="s">
        <v>437</v>
      </c>
      <c r="F46" s="12" t="s">
        <v>353</v>
      </c>
      <c r="G46" s="31" t="s">
        <v>296</v>
      </c>
      <c r="H46" s="12" t="s">
        <v>438</v>
      </c>
      <c r="I46" s="12" t="s">
        <v>27</v>
      </c>
      <c r="J46" s="12" t="s">
        <v>439</v>
      </c>
      <c r="K46" s="12" t="s">
        <v>27</v>
      </c>
      <c r="L46" s="12" t="s">
        <v>28</v>
      </c>
      <c r="M46" s="12" t="s">
        <v>28</v>
      </c>
      <c r="N46" s="12" t="s">
        <v>27</v>
      </c>
      <c r="O46" s="15">
        <v>100</v>
      </c>
      <c r="P46" s="12">
        <v>3</v>
      </c>
      <c r="Q46" s="12" t="s">
        <v>440</v>
      </c>
      <c r="R46" s="12"/>
      <c r="S46" s="12" t="s">
        <v>346</v>
      </c>
      <c r="T46" s="12" t="s">
        <v>347</v>
      </c>
    </row>
    <row r="47" spans="1:20" ht="15.5" customHeight="1" x14ac:dyDescent="0.3">
      <c r="A47" s="12" t="s">
        <v>121</v>
      </c>
      <c r="B47" s="12" t="s">
        <v>238</v>
      </c>
      <c r="C47" s="12" t="s">
        <v>271</v>
      </c>
      <c r="D47" s="33">
        <v>46252</v>
      </c>
      <c r="E47" s="12" t="s">
        <v>441</v>
      </c>
      <c r="F47" s="12" t="s">
        <v>345</v>
      </c>
      <c r="G47" s="31" t="s">
        <v>243</v>
      </c>
      <c r="H47" s="12" t="s">
        <v>27</v>
      </c>
      <c r="I47" s="12" t="s">
        <v>27</v>
      </c>
      <c r="J47" s="12" t="s">
        <v>27</v>
      </c>
      <c r="K47" s="12" t="s">
        <v>27</v>
      </c>
      <c r="L47" s="12" t="s">
        <v>28</v>
      </c>
      <c r="M47" s="12" t="s">
        <v>28</v>
      </c>
      <c r="N47" s="12" t="s">
        <v>27</v>
      </c>
      <c r="O47" s="15">
        <v>100</v>
      </c>
      <c r="P47" s="12">
        <v>3</v>
      </c>
      <c r="Q47" s="12" t="s">
        <v>27</v>
      </c>
      <c r="R47" s="12"/>
      <c r="S47" s="12" t="s">
        <v>346</v>
      </c>
      <c r="T47" s="12" t="s">
        <v>347</v>
      </c>
    </row>
    <row r="48" spans="1:20" ht="15.5" customHeight="1" x14ac:dyDescent="0.3">
      <c r="A48" s="12" t="s">
        <v>123</v>
      </c>
      <c r="B48" s="12" t="s">
        <v>238</v>
      </c>
      <c r="C48" s="12" t="s">
        <v>278</v>
      </c>
      <c r="D48" s="31" t="s">
        <v>312</v>
      </c>
      <c r="E48" s="12" t="s">
        <v>442</v>
      </c>
      <c r="F48" s="12" t="s">
        <v>443</v>
      </c>
      <c r="G48" s="31" t="s">
        <v>355</v>
      </c>
      <c r="H48" s="12" t="s">
        <v>444</v>
      </c>
      <c r="I48" s="12" t="s">
        <v>445</v>
      </c>
      <c r="J48" s="12" t="s">
        <v>446</v>
      </c>
      <c r="K48" s="12" t="s">
        <v>447</v>
      </c>
      <c r="L48" s="12" t="s">
        <v>448</v>
      </c>
      <c r="M48" s="12" t="s">
        <v>449</v>
      </c>
      <c r="N48" s="12" t="s">
        <v>450</v>
      </c>
      <c r="O48" s="15">
        <v>100</v>
      </c>
      <c r="P48" s="12">
        <v>6</v>
      </c>
      <c r="Q48" s="12" t="s">
        <v>451</v>
      </c>
      <c r="R48" s="12" t="s">
        <v>452</v>
      </c>
      <c r="S48" s="12" t="s">
        <v>453</v>
      </c>
      <c r="T48" s="12" t="s">
        <v>454</v>
      </c>
    </row>
    <row r="49" spans="1:20" ht="15.5" customHeight="1" x14ac:dyDescent="0.3">
      <c r="A49" s="12" t="s">
        <v>125</v>
      </c>
      <c r="B49" s="12" t="s">
        <v>258</v>
      </c>
      <c r="C49" s="12" t="s">
        <v>292</v>
      </c>
      <c r="D49" s="33">
        <v>46255</v>
      </c>
      <c r="E49" s="12" t="s">
        <v>455</v>
      </c>
      <c r="F49" s="12" t="s">
        <v>349</v>
      </c>
      <c r="G49" s="31" t="s">
        <v>267</v>
      </c>
      <c r="H49" s="12" t="s">
        <v>456</v>
      </c>
      <c r="I49" s="12" t="s">
        <v>457</v>
      </c>
      <c r="J49" s="12" t="s">
        <v>458</v>
      </c>
      <c r="K49" s="12" t="s">
        <v>459</v>
      </c>
      <c r="L49" s="12" t="s">
        <v>460</v>
      </c>
      <c r="M49" s="12" t="s">
        <v>461</v>
      </c>
      <c r="N49" s="12" t="s">
        <v>462</v>
      </c>
      <c r="O49" s="15">
        <v>100</v>
      </c>
      <c r="P49" s="12">
        <v>4</v>
      </c>
      <c r="Q49" s="12" t="s">
        <v>463</v>
      </c>
      <c r="R49" s="12" t="s">
        <v>464</v>
      </c>
      <c r="S49" s="12" t="s">
        <v>465</v>
      </c>
      <c r="T49" s="12" t="s">
        <v>466</v>
      </c>
    </row>
    <row r="50" spans="1:20" ht="15.5" customHeight="1" x14ac:dyDescent="0.3">
      <c r="A50" s="12" t="s">
        <v>127</v>
      </c>
      <c r="B50" s="12" t="s">
        <v>258</v>
      </c>
      <c r="C50" s="12" t="s">
        <v>326</v>
      </c>
      <c r="D50" s="33">
        <v>46259</v>
      </c>
      <c r="E50" s="12" t="s">
        <v>467</v>
      </c>
      <c r="F50" s="12" t="s">
        <v>353</v>
      </c>
      <c r="G50" s="31" t="s">
        <v>267</v>
      </c>
      <c r="H50" s="12" t="s">
        <v>468</v>
      </c>
      <c r="I50" s="12" t="s">
        <v>457</v>
      </c>
      <c r="J50" s="12" t="s">
        <v>469</v>
      </c>
      <c r="K50" s="12" t="s">
        <v>470</v>
      </c>
      <c r="L50" s="12" t="s">
        <v>471</v>
      </c>
      <c r="M50" s="12" t="s">
        <v>472</v>
      </c>
      <c r="N50" s="12" t="s">
        <v>473</v>
      </c>
      <c r="O50" s="15">
        <v>100</v>
      </c>
      <c r="P50" s="12">
        <v>3</v>
      </c>
      <c r="Q50" s="12" t="s">
        <v>474</v>
      </c>
      <c r="R50" s="12" t="s">
        <v>475</v>
      </c>
      <c r="S50" s="12" t="s">
        <v>476</v>
      </c>
      <c r="T50" s="12" t="s">
        <v>466</v>
      </c>
    </row>
    <row r="51" spans="1:20" ht="15.5" customHeight="1" x14ac:dyDescent="0.3">
      <c r="A51" s="12" t="s">
        <v>128</v>
      </c>
      <c r="B51" s="12" t="s">
        <v>258</v>
      </c>
      <c r="C51" s="12" t="s">
        <v>326</v>
      </c>
      <c r="D51" s="33">
        <v>46259</v>
      </c>
      <c r="E51" s="12" t="s">
        <v>477</v>
      </c>
      <c r="F51" s="12" t="s">
        <v>345</v>
      </c>
      <c r="G51" s="31" t="s">
        <v>296</v>
      </c>
      <c r="H51" s="12" t="s">
        <v>478</v>
      </c>
      <c r="I51" s="12" t="s">
        <v>457</v>
      </c>
      <c r="J51" s="12" t="s">
        <v>457</v>
      </c>
      <c r="K51" s="12" t="s">
        <v>470</v>
      </c>
      <c r="L51" s="12" t="s">
        <v>479</v>
      </c>
      <c r="M51" s="12" t="s">
        <v>480</v>
      </c>
      <c r="N51" s="12" t="s">
        <v>481</v>
      </c>
      <c r="O51" s="15">
        <v>100</v>
      </c>
      <c r="P51" s="12">
        <v>0</v>
      </c>
      <c r="Q51" s="12" t="s">
        <v>482</v>
      </c>
      <c r="R51" s="12" t="s">
        <v>483</v>
      </c>
      <c r="S51" s="12" t="s">
        <v>484</v>
      </c>
      <c r="T51" s="12" t="s">
        <v>466</v>
      </c>
    </row>
  </sheetData>
  <conditionalFormatting sqref="G2:G51">
    <cfRule type="expression" dxfId="9" priority="1">
      <formula>G2="Crítica"</formula>
    </cfRule>
    <cfRule type="expression" dxfId="8" priority="2">
      <formula>G2="Alta"</formula>
    </cfRule>
    <cfRule type="expression" dxfId="7" priority="3">
      <formula>G2="Media"</formula>
    </cfRule>
    <cfRule type="expression" dxfId="6" priority="4">
      <formula>G2="Baja"</formula>
    </cfRule>
    <cfRule type="expression" dxfId="5" priority="5">
      <formula>G2="No concluyente"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V19"/>
  <sheetViews>
    <sheetView showGridLines="0" workbookViewId="0">
      <selection activeCell="C3" sqref="C3"/>
    </sheetView>
  </sheetViews>
  <sheetFormatPr baseColWidth="10" defaultColWidth="8.7265625" defaultRowHeight="16.5" customHeight="1" x14ac:dyDescent="0.25"/>
  <cols>
    <col min="1" max="1" width="11" style="13" customWidth="1"/>
    <col min="2" max="2" width="22.26953125" style="13" bestFit="1" customWidth="1"/>
    <col min="3" max="3" width="16.08984375" style="13" bestFit="1" customWidth="1"/>
    <col min="4" max="4" width="49.26953125" style="13" customWidth="1"/>
    <col min="5" max="5" width="50.81640625" style="13" customWidth="1"/>
    <col min="6" max="7" width="12" style="13" customWidth="1"/>
    <col min="8" max="8" width="25" style="13" customWidth="1"/>
    <col min="9" max="9" width="18" style="13" customWidth="1"/>
    <col min="10" max="10" width="25" style="13" customWidth="1"/>
    <col min="11" max="11" width="18" style="13" customWidth="1"/>
    <col min="12" max="12" width="25" style="13" customWidth="1"/>
    <col min="13" max="14" width="18" style="13" customWidth="1"/>
    <col min="15" max="15" width="14" style="13" customWidth="1"/>
    <col min="16" max="17" width="10" style="13" customWidth="1"/>
    <col min="18" max="18" width="32" style="13" customWidth="1"/>
    <col min="19" max="19" width="65.90625" style="13" bestFit="1" customWidth="1"/>
    <col min="20" max="20" width="60.90625" style="13" bestFit="1" customWidth="1"/>
    <col min="21" max="21" width="209" style="13" bestFit="1" customWidth="1"/>
    <col min="22" max="22" width="73.08984375" style="13" bestFit="1" customWidth="1"/>
    <col min="23" max="16384" width="8.7265625" style="13"/>
  </cols>
  <sheetData>
    <row r="1" spans="1:22" s="30" customFormat="1" ht="37.5" customHeight="1" x14ac:dyDescent="0.35">
      <c r="A1" s="29" t="s">
        <v>18</v>
      </c>
      <c r="B1" s="29" t="s">
        <v>19</v>
      </c>
      <c r="C1" s="29" t="s">
        <v>20</v>
      </c>
      <c r="D1" s="29" t="s">
        <v>129</v>
      </c>
      <c r="E1" s="29" t="s">
        <v>130</v>
      </c>
      <c r="F1" s="29" t="s">
        <v>131</v>
      </c>
      <c r="G1" s="29" t="s">
        <v>132</v>
      </c>
      <c r="H1" s="29" t="s">
        <v>133</v>
      </c>
      <c r="I1" s="29" t="s">
        <v>134</v>
      </c>
      <c r="J1" s="29" t="s">
        <v>135</v>
      </c>
      <c r="K1" s="29" t="s">
        <v>136</v>
      </c>
      <c r="L1" s="29" t="s">
        <v>137</v>
      </c>
      <c r="M1" s="29" t="s">
        <v>138</v>
      </c>
      <c r="N1" s="29" t="s">
        <v>139</v>
      </c>
      <c r="O1" s="29" t="s">
        <v>140</v>
      </c>
      <c r="P1" s="29" t="s">
        <v>141</v>
      </c>
      <c r="Q1" s="29" t="s">
        <v>22</v>
      </c>
      <c r="R1" s="29" t="s">
        <v>142</v>
      </c>
      <c r="S1" s="29" t="s">
        <v>143</v>
      </c>
      <c r="T1" s="29" t="s">
        <v>144</v>
      </c>
      <c r="U1" s="29" t="s">
        <v>23</v>
      </c>
      <c r="V1" s="29" t="s">
        <v>145</v>
      </c>
    </row>
    <row r="2" spans="1:22" ht="13.5" customHeight="1" x14ac:dyDescent="0.25">
      <c r="A2" s="14" t="s">
        <v>146</v>
      </c>
      <c r="B2" s="14" t="s">
        <v>238</v>
      </c>
      <c r="C2" s="14" t="s">
        <v>239</v>
      </c>
      <c r="D2" s="14" t="s">
        <v>240</v>
      </c>
      <c r="E2" s="14" t="s">
        <v>241</v>
      </c>
      <c r="F2" s="16">
        <v>46255</v>
      </c>
      <c r="G2" s="14">
        <v>25</v>
      </c>
      <c r="H2" s="14" t="s">
        <v>242</v>
      </c>
      <c r="I2" s="14" t="s">
        <v>243</v>
      </c>
      <c r="J2" s="14" t="s">
        <v>242</v>
      </c>
      <c r="K2" s="14" t="s">
        <v>243</v>
      </c>
      <c r="L2" s="14" t="s">
        <v>242</v>
      </c>
      <c r="M2" s="14" t="s">
        <v>243</v>
      </c>
      <c r="N2" s="14" t="s">
        <v>243</v>
      </c>
      <c r="O2" s="14">
        <v>100</v>
      </c>
      <c r="P2" s="14">
        <v>1</v>
      </c>
      <c r="Q2" s="14">
        <v>0</v>
      </c>
      <c r="R2" s="14" t="s">
        <v>244</v>
      </c>
      <c r="S2" s="14" t="s">
        <v>245</v>
      </c>
      <c r="T2" s="14" t="s">
        <v>246</v>
      </c>
      <c r="U2" s="14" t="s">
        <v>247</v>
      </c>
      <c r="V2" s="14" t="s">
        <v>248</v>
      </c>
    </row>
    <row r="3" spans="1:22" ht="13.5" customHeight="1" x14ac:dyDescent="0.25">
      <c r="A3" s="14" t="s">
        <v>147</v>
      </c>
      <c r="B3" s="14" t="s">
        <v>238</v>
      </c>
      <c r="C3" s="14" t="s">
        <v>239</v>
      </c>
      <c r="D3" s="14" t="s">
        <v>249</v>
      </c>
      <c r="E3" s="14" t="s">
        <v>250</v>
      </c>
      <c r="F3" s="16">
        <v>46246</v>
      </c>
      <c r="G3" s="14">
        <v>0</v>
      </c>
      <c r="H3" s="14" t="s">
        <v>251</v>
      </c>
      <c r="I3" s="14" t="s">
        <v>252</v>
      </c>
      <c r="J3" s="14" t="s">
        <v>251</v>
      </c>
      <c r="K3" s="14" t="s">
        <v>252</v>
      </c>
      <c r="L3" s="14" t="s">
        <v>251</v>
      </c>
      <c r="M3" s="14" t="s">
        <v>252</v>
      </c>
      <c r="N3" s="14" t="s">
        <v>252</v>
      </c>
      <c r="O3" s="14">
        <v>0</v>
      </c>
      <c r="P3" s="14">
        <v>1</v>
      </c>
      <c r="Q3" s="14">
        <v>0</v>
      </c>
      <c r="R3" s="14" t="s">
        <v>253</v>
      </c>
      <c r="S3" s="14" t="s">
        <v>254</v>
      </c>
      <c r="T3" s="14" t="s">
        <v>255</v>
      </c>
      <c r="U3" s="14" t="s">
        <v>256</v>
      </c>
      <c r="V3" s="14" t="s">
        <v>257</v>
      </c>
    </row>
    <row r="4" spans="1:22" ht="13.5" customHeight="1" x14ac:dyDescent="0.25">
      <c r="A4" s="14" t="s">
        <v>148</v>
      </c>
      <c r="B4" s="14" t="s">
        <v>258</v>
      </c>
      <c r="C4" s="14" t="s">
        <v>259</v>
      </c>
      <c r="D4" s="14" t="s">
        <v>260</v>
      </c>
      <c r="E4" s="14" t="s">
        <v>241</v>
      </c>
      <c r="F4" s="16">
        <v>46248</v>
      </c>
      <c r="G4" s="14">
        <v>9</v>
      </c>
      <c r="H4" s="14" t="s">
        <v>242</v>
      </c>
      <c r="I4" s="14" t="s">
        <v>243</v>
      </c>
      <c r="J4" s="14" t="s">
        <v>242</v>
      </c>
      <c r="K4" s="14" t="s">
        <v>243</v>
      </c>
      <c r="L4" s="14" t="s">
        <v>242</v>
      </c>
      <c r="M4" s="14" t="s">
        <v>243</v>
      </c>
      <c r="N4" s="14" t="s">
        <v>243</v>
      </c>
      <c r="O4" s="14">
        <v>100</v>
      </c>
      <c r="P4" s="14">
        <v>1</v>
      </c>
      <c r="Q4" s="14">
        <v>0</v>
      </c>
      <c r="R4" s="14" t="s">
        <v>261</v>
      </c>
      <c r="S4" s="14" t="s">
        <v>245</v>
      </c>
      <c r="T4" s="14" t="s">
        <v>246</v>
      </c>
      <c r="U4" s="14" t="s">
        <v>262</v>
      </c>
      <c r="V4" s="14" t="s">
        <v>263</v>
      </c>
    </row>
    <row r="5" spans="1:22" ht="13.5" customHeight="1" x14ac:dyDescent="0.25">
      <c r="A5" s="14" t="s">
        <v>149</v>
      </c>
      <c r="B5" s="14" t="s">
        <v>258</v>
      </c>
      <c r="C5" s="14" t="s">
        <v>264</v>
      </c>
      <c r="D5" s="14" t="s">
        <v>265</v>
      </c>
      <c r="E5" s="14" t="s">
        <v>241</v>
      </c>
      <c r="F5" s="16">
        <v>46248</v>
      </c>
      <c r="G5" s="14">
        <v>50</v>
      </c>
      <c r="H5" s="14" t="s">
        <v>242</v>
      </c>
      <c r="I5" s="14" t="s">
        <v>243</v>
      </c>
      <c r="J5" s="14" t="s">
        <v>266</v>
      </c>
      <c r="K5" s="14" t="s">
        <v>267</v>
      </c>
      <c r="L5" s="14" t="s">
        <v>242</v>
      </c>
      <c r="M5" s="14" t="s">
        <v>243</v>
      </c>
      <c r="N5" s="14" t="s">
        <v>267</v>
      </c>
      <c r="O5" s="14">
        <v>100</v>
      </c>
      <c r="P5" s="14">
        <v>2</v>
      </c>
      <c r="Q5" s="14">
        <v>5</v>
      </c>
      <c r="R5" s="14" t="s">
        <v>268</v>
      </c>
      <c r="S5" s="14" t="s">
        <v>269</v>
      </c>
      <c r="T5" s="14" t="s">
        <v>246</v>
      </c>
      <c r="U5" s="14" t="s">
        <v>270</v>
      </c>
      <c r="V5" s="14" t="s">
        <v>263</v>
      </c>
    </row>
    <row r="6" spans="1:22" ht="13.5" customHeight="1" x14ac:dyDescent="0.25">
      <c r="A6" s="14" t="s">
        <v>150</v>
      </c>
      <c r="B6" s="14" t="s">
        <v>238</v>
      </c>
      <c r="C6" s="14" t="s">
        <v>271</v>
      </c>
      <c r="D6" s="14" t="s">
        <v>272</v>
      </c>
      <c r="E6" s="14" t="s">
        <v>241</v>
      </c>
      <c r="F6" s="16">
        <v>46252</v>
      </c>
      <c r="G6" s="14">
        <v>9</v>
      </c>
      <c r="H6" s="14" t="s">
        <v>242</v>
      </c>
      <c r="I6" s="14" t="s">
        <v>243</v>
      </c>
      <c r="J6" s="14" t="s">
        <v>273</v>
      </c>
      <c r="K6" s="14" t="s">
        <v>243</v>
      </c>
      <c r="L6" s="14" t="s">
        <v>242</v>
      </c>
      <c r="M6" s="14" t="s">
        <v>243</v>
      </c>
      <c r="N6" s="14" t="s">
        <v>243</v>
      </c>
      <c r="O6" s="14">
        <v>100</v>
      </c>
      <c r="P6" s="14">
        <v>1</v>
      </c>
      <c r="Q6" s="14">
        <v>0</v>
      </c>
      <c r="R6" s="14" t="s">
        <v>274</v>
      </c>
      <c r="S6" s="14" t="s">
        <v>275</v>
      </c>
      <c r="T6" s="14" t="s">
        <v>246</v>
      </c>
      <c r="U6" s="14" t="s">
        <v>276</v>
      </c>
      <c r="V6" s="14" t="s">
        <v>277</v>
      </c>
    </row>
    <row r="7" spans="1:22" ht="13.5" customHeight="1" x14ac:dyDescent="0.25">
      <c r="A7" s="14" t="s">
        <v>151</v>
      </c>
      <c r="B7" s="14" t="s">
        <v>238</v>
      </c>
      <c r="C7" s="14" t="s">
        <v>278</v>
      </c>
      <c r="D7" s="14" t="s">
        <v>279</v>
      </c>
      <c r="E7" s="14" t="s">
        <v>241</v>
      </c>
      <c r="F7" s="16">
        <v>46246</v>
      </c>
      <c r="G7" s="14">
        <v>40</v>
      </c>
      <c r="H7" s="14" t="s">
        <v>242</v>
      </c>
      <c r="I7" s="14" t="s">
        <v>243</v>
      </c>
      <c r="J7" s="14" t="s">
        <v>273</v>
      </c>
      <c r="K7" s="14" t="s">
        <v>243</v>
      </c>
      <c r="L7" s="14" t="s">
        <v>242</v>
      </c>
      <c r="M7" s="14" t="s">
        <v>243</v>
      </c>
      <c r="N7" s="14" t="s">
        <v>243</v>
      </c>
      <c r="O7" s="14">
        <v>100</v>
      </c>
      <c r="P7" s="14">
        <v>1</v>
      </c>
      <c r="Q7" s="14">
        <v>5</v>
      </c>
      <c r="R7" s="14" t="s">
        <v>261</v>
      </c>
      <c r="S7" s="14" t="s">
        <v>275</v>
      </c>
      <c r="T7" s="14" t="s">
        <v>246</v>
      </c>
      <c r="U7" s="14" t="s">
        <v>280</v>
      </c>
      <c r="V7" s="14" t="s">
        <v>263</v>
      </c>
    </row>
    <row r="8" spans="1:22" ht="13.5" customHeight="1" x14ac:dyDescent="0.25">
      <c r="A8" s="14" t="s">
        <v>152</v>
      </c>
      <c r="B8" s="14" t="s">
        <v>238</v>
      </c>
      <c r="C8" s="14" t="s">
        <v>281</v>
      </c>
      <c r="D8" s="14" t="s">
        <v>282</v>
      </c>
      <c r="E8" s="14" t="s">
        <v>241</v>
      </c>
      <c r="F8" s="16">
        <v>46246</v>
      </c>
      <c r="G8" s="14">
        <v>16</v>
      </c>
      <c r="H8" s="14" t="s">
        <v>242</v>
      </c>
      <c r="I8" s="14" t="s">
        <v>243</v>
      </c>
      <c r="J8" s="14" t="s">
        <v>273</v>
      </c>
      <c r="K8" s="14" t="s">
        <v>243</v>
      </c>
      <c r="L8" s="14" t="s">
        <v>242</v>
      </c>
      <c r="M8" s="14" t="s">
        <v>243</v>
      </c>
      <c r="N8" s="14" t="s">
        <v>243</v>
      </c>
      <c r="O8" s="14">
        <v>100</v>
      </c>
      <c r="P8" s="14">
        <v>1</v>
      </c>
      <c r="Q8" s="14">
        <v>2</v>
      </c>
      <c r="R8" s="14" t="s">
        <v>283</v>
      </c>
      <c r="S8" s="14" t="s">
        <v>275</v>
      </c>
      <c r="T8" s="14" t="s">
        <v>246</v>
      </c>
      <c r="U8" s="14" t="s">
        <v>284</v>
      </c>
      <c r="V8" s="14" t="s">
        <v>263</v>
      </c>
    </row>
    <row r="9" spans="1:22" ht="13.5" customHeight="1" x14ac:dyDescent="0.25">
      <c r="A9" s="14" t="s">
        <v>153</v>
      </c>
      <c r="B9" s="14" t="s">
        <v>238</v>
      </c>
      <c r="C9" s="14" t="s">
        <v>285</v>
      </c>
      <c r="D9" s="14" t="s">
        <v>286</v>
      </c>
      <c r="E9" s="14" t="s">
        <v>241</v>
      </c>
      <c r="F9" s="16">
        <v>46246</v>
      </c>
      <c r="G9" s="14">
        <v>5</v>
      </c>
      <c r="H9" s="14" t="s">
        <v>251</v>
      </c>
      <c r="I9" s="14" t="s">
        <v>252</v>
      </c>
      <c r="J9" s="14" t="s">
        <v>251</v>
      </c>
      <c r="K9" s="14" t="s">
        <v>252</v>
      </c>
      <c r="L9" s="14" t="s">
        <v>251</v>
      </c>
      <c r="M9" s="14" t="s">
        <v>252</v>
      </c>
      <c r="N9" s="14" t="s">
        <v>252</v>
      </c>
      <c r="O9" s="14">
        <v>0</v>
      </c>
      <c r="P9" s="14">
        <v>1</v>
      </c>
      <c r="Q9" s="14">
        <v>0</v>
      </c>
      <c r="R9" s="14" t="s">
        <v>253</v>
      </c>
      <c r="S9" s="14" t="s">
        <v>254</v>
      </c>
      <c r="T9" s="14" t="s">
        <v>255</v>
      </c>
      <c r="U9" s="14" t="s">
        <v>287</v>
      </c>
      <c r="V9" s="14" t="s">
        <v>288</v>
      </c>
    </row>
    <row r="10" spans="1:22" ht="13.5" customHeight="1" x14ac:dyDescent="0.25">
      <c r="A10" s="14" t="s">
        <v>154</v>
      </c>
      <c r="B10" s="14" t="s">
        <v>238</v>
      </c>
      <c r="C10" s="14" t="s">
        <v>285</v>
      </c>
      <c r="D10" s="14" t="s">
        <v>289</v>
      </c>
      <c r="E10" s="14" t="s">
        <v>250</v>
      </c>
      <c r="F10" s="16">
        <v>46246</v>
      </c>
      <c r="G10" s="14">
        <v>0</v>
      </c>
      <c r="H10" s="14" t="s">
        <v>251</v>
      </c>
      <c r="I10" s="14" t="s">
        <v>252</v>
      </c>
      <c r="J10" s="14" t="s">
        <v>251</v>
      </c>
      <c r="K10" s="14" t="s">
        <v>252</v>
      </c>
      <c r="L10" s="14" t="s">
        <v>251</v>
      </c>
      <c r="M10" s="14" t="s">
        <v>252</v>
      </c>
      <c r="N10" s="14" t="s">
        <v>252</v>
      </c>
      <c r="O10" s="14">
        <v>0</v>
      </c>
      <c r="P10" s="14">
        <v>1</v>
      </c>
      <c r="Q10" s="14">
        <v>0</v>
      </c>
      <c r="R10" s="14" t="s">
        <v>253</v>
      </c>
      <c r="S10" s="14" t="s">
        <v>254</v>
      </c>
      <c r="T10" s="14" t="s">
        <v>255</v>
      </c>
      <c r="U10" s="14" t="s">
        <v>290</v>
      </c>
      <c r="V10" s="14" t="s">
        <v>291</v>
      </c>
    </row>
    <row r="11" spans="1:22" ht="13.5" customHeight="1" x14ac:dyDescent="0.25">
      <c r="A11" s="14" t="s">
        <v>155</v>
      </c>
      <c r="B11" s="14" t="s">
        <v>258</v>
      </c>
      <c r="C11" s="14" t="s">
        <v>292</v>
      </c>
      <c r="D11" s="14" t="s">
        <v>293</v>
      </c>
      <c r="E11" s="14" t="s">
        <v>294</v>
      </c>
      <c r="F11" s="16">
        <v>46253</v>
      </c>
      <c r="G11" s="14"/>
      <c r="H11" s="14" t="s">
        <v>242</v>
      </c>
      <c r="I11" s="14" t="s">
        <v>243</v>
      </c>
      <c r="J11" s="14" t="s">
        <v>295</v>
      </c>
      <c r="K11" s="14" t="s">
        <v>296</v>
      </c>
      <c r="L11" s="14" t="s">
        <v>297</v>
      </c>
      <c r="M11" s="14" t="s">
        <v>296</v>
      </c>
      <c r="N11" s="14" t="s">
        <v>296</v>
      </c>
      <c r="O11" s="14">
        <v>100</v>
      </c>
      <c r="P11" s="14">
        <v>1</v>
      </c>
      <c r="Q11" s="14">
        <v>10</v>
      </c>
      <c r="R11" s="14" t="s">
        <v>298</v>
      </c>
      <c r="S11" s="14" t="s">
        <v>299</v>
      </c>
      <c r="T11" s="14" t="s">
        <v>300</v>
      </c>
      <c r="U11" s="14"/>
      <c r="V11" s="14" t="s">
        <v>263</v>
      </c>
    </row>
    <row r="12" spans="1:22" ht="13.5" customHeight="1" x14ac:dyDescent="0.25">
      <c r="A12" s="14" t="s">
        <v>156</v>
      </c>
      <c r="B12" s="14" t="s">
        <v>258</v>
      </c>
      <c r="C12" s="14" t="s">
        <v>301</v>
      </c>
      <c r="D12" s="14" t="s">
        <v>302</v>
      </c>
      <c r="E12" s="14" t="s">
        <v>241</v>
      </c>
      <c r="F12" s="16">
        <v>46246</v>
      </c>
      <c r="G12" s="14">
        <v>16</v>
      </c>
      <c r="H12" s="14" t="s">
        <v>242</v>
      </c>
      <c r="I12" s="14" t="s">
        <v>243</v>
      </c>
      <c r="J12" s="14" t="s">
        <v>295</v>
      </c>
      <c r="K12" s="14" t="s">
        <v>296</v>
      </c>
      <c r="L12" s="14" t="s">
        <v>297</v>
      </c>
      <c r="M12" s="14" t="s">
        <v>296</v>
      </c>
      <c r="N12" s="14" t="s">
        <v>296</v>
      </c>
      <c r="O12" s="14">
        <v>100</v>
      </c>
      <c r="P12" s="14">
        <v>1</v>
      </c>
      <c r="Q12" s="14">
        <v>0</v>
      </c>
      <c r="R12" s="14" t="s">
        <v>303</v>
      </c>
      <c r="S12" s="14" t="s">
        <v>299</v>
      </c>
      <c r="T12" s="14" t="s">
        <v>304</v>
      </c>
      <c r="U12" s="14"/>
      <c r="V12" s="14" t="s">
        <v>263</v>
      </c>
    </row>
    <row r="13" spans="1:22" ht="13.5" customHeight="1" x14ac:dyDescent="0.25">
      <c r="A13" s="14" t="s">
        <v>157</v>
      </c>
      <c r="B13" s="14" t="s">
        <v>238</v>
      </c>
      <c r="C13" s="14" t="s">
        <v>305</v>
      </c>
      <c r="D13" s="14" t="s">
        <v>306</v>
      </c>
      <c r="E13" s="14" t="s">
        <v>307</v>
      </c>
      <c r="F13" s="16">
        <v>46246</v>
      </c>
      <c r="G13" s="14">
        <v>32</v>
      </c>
      <c r="H13" s="14" t="s">
        <v>266</v>
      </c>
      <c r="I13" s="14" t="s">
        <v>267</v>
      </c>
      <c r="J13" s="14" t="s">
        <v>273</v>
      </c>
      <c r="K13" s="14" t="s">
        <v>243</v>
      </c>
      <c r="L13" s="14" t="s">
        <v>242</v>
      </c>
      <c r="M13" s="14" t="s">
        <v>243</v>
      </c>
      <c r="N13" s="14" t="s">
        <v>267</v>
      </c>
      <c r="O13" s="14">
        <v>100</v>
      </c>
      <c r="P13" s="14">
        <v>1</v>
      </c>
      <c r="Q13" s="14">
        <v>0</v>
      </c>
      <c r="R13" s="14" t="s">
        <v>308</v>
      </c>
      <c r="S13" s="14" t="s">
        <v>275</v>
      </c>
      <c r="T13" s="14" t="s">
        <v>246</v>
      </c>
      <c r="U13" s="14" t="s">
        <v>309</v>
      </c>
      <c r="V13" s="14" t="s">
        <v>263</v>
      </c>
    </row>
    <row r="14" spans="1:22" ht="13.5" customHeight="1" x14ac:dyDescent="0.25">
      <c r="A14" s="14" t="s">
        <v>158</v>
      </c>
      <c r="B14" s="14" t="s">
        <v>238</v>
      </c>
      <c r="C14" s="14" t="s">
        <v>305</v>
      </c>
      <c r="D14" s="14" t="s">
        <v>310</v>
      </c>
      <c r="E14" s="14" t="s">
        <v>311</v>
      </c>
      <c r="F14" s="16">
        <v>46254</v>
      </c>
      <c r="G14" s="14" t="s">
        <v>312</v>
      </c>
      <c r="H14" s="14" t="s">
        <v>242</v>
      </c>
      <c r="I14" s="14" t="s">
        <v>243</v>
      </c>
      <c r="J14" s="14" t="s">
        <v>242</v>
      </c>
      <c r="K14" s="14" t="s">
        <v>243</v>
      </c>
      <c r="L14" s="14" t="s">
        <v>251</v>
      </c>
      <c r="M14" s="14" t="s">
        <v>252</v>
      </c>
      <c r="N14" s="14" t="s">
        <v>243</v>
      </c>
      <c r="O14" s="14">
        <v>67</v>
      </c>
      <c r="P14" s="14">
        <v>1</v>
      </c>
      <c r="Q14" s="14">
        <v>0</v>
      </c>
      <c r="R14" s="14" t="s">
        <v>313</v>
      </c>
      <c r="S14" s="14" t="s">
        <v>245</v>
      </c>
      <c r="T14" s="14" t="s">
        <v>255</v>
      </c>
      <c r="U14" s="14" t="s">
        <v>314</v>
      </c>
      <c r="V14" s="14" t="s">
        <v>315</v>
      </c>
    </row>
    <row r="15" spans="1:22" ht="13.5" customHeight="1" x14ac:dyDescent="0.25">
      <c r="A15" s="14" t="s">
        <v>159</v>
      </c>
      <c r="B15" s="14" t="s">
        <v>258</v>
      </c>
      <c r="C15" s="14" t="s">
        <v>316</v>
      </c>
      <c r="D15" s="14" t="s">
        <v>317</v>
      </c>
      <c r="E15" s="14" t="s">
        <v>241</v>
      </c>
      <c r="F15" s="16">
        <v>46248</v>
      </c>
      <c r="G15" s="14">
        <v>10</v>
      </c>
      <c r="H15" s="14" t="s">
        <v>242</v>
      </c>
      <c r="I15" s="14" t="s">
        <v>243</v>
      </c>
      <c r="J15" s="14" t="s">
        <v>297</v>
      </c>
      <c r="K15" s="14" t="s">
        <v>296</v>
      </c>
      <c r="L15" s="14" t="s">
        <v>242</v>
      </c>
      <c r="M15" s="14" t="s">
        <v>243</v>
      </c>
      <c r="N15" s="14" t="s">
        <v>296</v>
      </c>
      <c r="O15" s="14">
        <v>100</v>
      </c>
      <c r="P15" s="14">
        <v>1</v>
      </c>
      <c r="Q15" s="14">
        <v>0</v>
      </c>
      <c r="R15" s="14" t="s">
        <v>318</v>
      </c>
      <c r="S15" s="14" t="s">
        <v>319</v>
      </c>
      <c r="T15" s="14" t="s">
        <v>246</v>
      </c>
      <c r="U15" s="14" t="s">
        <v>320</v>
      </c>
      <c r="V15" s="14" t="s">
        <v>263</v>
      </c>
    </row>
    <row r="16" spans="1:22" ht="13.5" customHeight="1" x14ac:dyDescent="0.25">
      <c r="A16" s="14" t="s">
        <v>160</v>
      </c>
      <c r="B16" s="14" t="s">
        <v>238</v>
      </c>
      <c r="C16" s="14" t="s">
        <v>321</v>
      </c>
      <c r="D16" s="14" t="s">
        <v>322</v>
      </c>
      <c r="E16" s="14" t="s">
        <v>323</v>
      </c>
      <c r="F16" s="16">
        <v>46247</v>
      </c>
      <c r="G16" s="14">
        <v>11</v>
      </c>
      <c r="H16" s="14" t="s">
        <v>297</v>
      </c>
      <c r="I16" s="14" t="s">
        <v>296</v>
      </c>
      <c r="J16" s="14" t="s">
        <v>295</v>
      </c>
      <c r="K16" s="14" t="s">
        <v>296</v>
      </c>
      <c r="L16" s="14" t="s">
        <v>242</v>
      </c>
      <c r="M16" s="14" t="s">
        <v>243</v>
      </c>
      <c r="N16" s="14" t="s">
        <v>296</v>
      </c>
      <c r="O16" s="14">
        <v>100</v>
      </c>
      <c r="P16" s="14">
        <v>1</v>
      </c>
      <c r="Q16" s="14">
        <v>3</v>
      </c>
      <c r="R16" s="14" t="s">
        <v>324</v>
      </c>
      <c r="S16" s="14" t="s">
        <v>299</v>
      </c>
      <c r="T16" s="14" t="s">
        <v>246</v>
      </c>
      <c r="U16" s="14" t="s">
        <v>325</v>
      </c>
      <c r="V16" s="14" t="s">
        <v>263</v>
      </c>
    </row>
    <row r="17" spans="1:22" ht="13.5" customHeight="1" x14ac:dyDescent="0.25">
      <c r="A17" s="14" t="s">
        <v>161</v>
      </c>
      <c r="B17" s="14" t="s">
        <v>258</v>
      </c>
      <c r="C17" s="14" t="s">
        <v>326</v>
      </c>
      <c r="D17" s="14" t="s">
        <v>327</v>
      </c>
      <c r="E17" s="14" t="s">
        <v>241</v>
      </c>
      <c r="F17" s="16">
        <v>46248</v>
      </c>
      <c r="G17" s="14">
        <v>50</v>
      </c>
      <c r="H17" s="14" t="s">
        <v>242</v>
      </c>
      <c r="I17" s="14" t="s">
        <v>243</v>
      </c>
      <c r="J17" s="14" t="s">
        <v>273</v>
      </c>
      <c r="K17" s="14" t="s">
        <v>243</v>
      </c>
      <c r="L17" s="14" t="s">
        <v>242</v>
      </c>
      <c r="M17" s="14" t="s">
        <v>243</v>
      </c>
      <c r="N17" s="14" t="s">
        <v>243</v>
      </c>
      <c r="O17" s="14">
        <v>100</v>
      </c>
      <c r="P17" s="14">
        <v>1</v>
      </c>
      <c r="Q17" s="14">
        <v>2</v>
      </c>
      <c r="R17" s="14" t="s">
        <v>328</v>
      </c>
      <c r="S17" s="14" t="s">
        <v>275</v>
      </c>
      <c r="T17" s="14" t="s">
        <v>246</v>
      </c>
      <c r="U17" s="14" t="s">
        <v>329</v>
      </c>
      <c r="V17" s="14" t="s">
        <v>263</v>
      </c>
    </row>
    <row r="18" spans="1:22" ht="13.5" customHeight="1" x14ac:dyDescent="0.25">
      <c r="A18" s="14" t="s">
        <v>162</v>
      </c>
      <c r="B18" s="14" t="s">
        <v>258</v>
      </c>
      <c r="C18" s="14" t="s">
        <v>330</v>
      </c>
      <c r="D18" s="14" t="s">
        <v>331</v>
      </c>
      <c r="E18" s="14" t="s">
        <v>241</v>
      </c>
      <c r="F18" s="16">
        <v>46247</v>
      </c>
      <c r="G18" s="14">
        <v>6</v>
      </c>
      <c r="H18" s="14" t="s">
        <v>242</v>
      </c>
      <c r="I18" s="14" t="s">
        <v>243</v>
      </c>
      <c r="J18" s="14" t="s">
        <v>273</v>
      </c>
      <c r="K18" s="14" t="s">
        <v>243</v>
      </c>
      <c r="L18" s="14" t="s">
        <v>242</v>
      </c>
      <c r="M18" s="14" t="s">
        <v>243</v>
      </c>
      <c r="N18" s="14" t="s">
        <v>243</v>
      </c>
      <c r="O18" s="14">
        <v>100</v>
      </c>
      <c r="P18" s="14">
        <v>1</v>
      </c>
      <c r="Q18" s="14">
        <v>4</v>
      </c>
      <c r="R18" s="14" t="s">
        <v>332</v>
      </c>
      <c r="S18" s="14" t="s">
        <v>275</v>
      </c>
      <c r="T18" s="14" t="s">
        <v>246</v>
      </c>
      <c r="U18" s="14" t="s">
        <v>333</v>
      </c>
      <c r="V18" s="14" t="s">
        <v>263</v>
      </c>
    </row>
    <row r="19" spans="1:22" ht="13.5" customHeight="1" x14ac:dyDescent="0.25">
      <c r="A19" s="14" t="s">
        <v>163</v>
      </c>
      <c r="B19" s="14" t="s">
        <v>258</v>
      </c>
      <c r="C19" s="14" t="s">
        <v>330</v>
      </c>
      <c r="D19" s="14" t="s">
        <v>334</v>
      </c>
      <c r="E19" s="14" t="s">
        <v>241</v>
      </c>
      <c r="F19" s="16">
        <v>46246</v>
      </c>
      <c r="G19" s="14">
        <v>11</v>
      </c>
      <c r="H19" s="14" t="s">
        <v>295</v>
      </c>
      <c r="I19" s="14" t="s">
        <v>296</v>
      </c>
      <c r="J19" s="14" t="s">
        <v>295</v>
      </c>
      <c r="K19" s="14" t="s">
        <v>296</v>
      </c>
      <c r="L19" s="14" t="s">
        <v>242</v>
      </c>
      <c r="M19" s="14" t="s">
        <v>243</v>
      </c>
      <c r="N19" s="14" t="s">
        <v>296</v>
      </c>
      <c r="O19" s="14">
        <v>100</v>
      </c>
      <c r="P19" s="14">
        <v>1</v>
      </c>
      <c r="Q19" s="14">
        <v>3</v>
      </c>
      <c r="R19" s="14" t="s">
        <v>335</v>
      </c>
      <c r="S19" s="14" t="s">
        <v>299</v>
      </c>
      <c r="T19" s="14" t="s">
        <v>336</v>
      </c>
      <c r="U19" s="14"/>
      <c r="V19" s="14" t="s">
        <v>263</v>
      </c>
    </row>
  </sheetData>
  <conditionalFormatting sqref="N2:N19">
    <cfRule type="expression" dxfId="4" priority="1">
      <formula>N2="Crítica"</formula>
    </cfRule>
    <cfRule type="expression" dxfId="3" priority="2">
      <formula>N2="Alta"</formula>
    </cfRule>
    <cfRule type="expression" dxfId="2" priority="3">
      <formula>N2="Media"</formula>
    </cfRule>
    <cfRule type="expression" dxfId="1" priority="4">
      <formula>N2="Baja"</formula>
    </cfRule>
    <cfRule type="expression" dxfId="0" priority="5">
      <formula>N2="No concluyente"</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0"/>
  <sheetViews>
    <sheetView showGridLines="0" zoomScale="85" zoomScaleNormal="85" workbookViewId="0">
      <selection activeCell="D4" sqref="D4"/>
    </sheetView>
  </sheetViews>
  <sheetFormatPr baseColWidth="10" defaultColWidth="8.7265625" defaultRowHeight="16" customHeight="1" x14ac:dyDescent="0.35"/>
  <cols>
    <col min="1" max="2" width="12" customWidth="1"/>
    <col min="3" max="4" width="18" customWidth="1"/>
    <col min="5" max="5" width="36" customWidth="1"/>
    <col min="6" max="6" width="12" customWidth="1"/>
    <col min="7" max="11" width="12" style="9" customWidth="1"/>
    <col min="12" max="12" width="18" style="9" customWidth="1"/>
    <col min="13" max="13" width="8.7265625" style="9"/>
    <col min="14" max="14" width="18" style="9" customWidth="1"/>
    <col min="15" max="15" width="12" style="9" customWidth="1"/>
    <col min="16" max="16" width="18" style="9" customWidth="1"/>
    <col min="17" max="19" width="12" style="9" customWidth="1"/>
    <col min="20" max="31" width="18" style="9" customWidth="1"/>
    <col min="32" max="32" width="12" style="9" customWidth="1"/>
    <col min="33" max="35" width="40" style="9" customWidth="1"/>
  </cols>
  <sheetData>
    <row r="1" spans="1:35" ht="16" customHeight="1" x14ac:dyDescent="0.35">
      <c r="A1" s="4" t="s">
        <v>164</v>
      </c>
      <c r="B1" s="4" t="s">
        <v>165</v>
      </c>
      <c r="C1" s="4" t="s">
        <v>19</v>
      </c>
      <c r="D1" s="4" t="s">
        <v>20</v>
      </c>
      <c r="E1" s="4" t="s">
        <v>166</v>
      </c>
      <c r="F1" s="4" t="s">
        <v>167</v>
      </c>
      <c r="G1" s="4" t="s">
        <v>168</v>
      </c>
      <c r="H1" s="4" t="s">
        <v>169</v>
      </c>
      <c r="I1" s="4" t="s">
        <v>170</v>
      </c>
      <c r="J1" s="4" t="s">
        <v>171</v>
      </c>
      <c r="K1" s="4" t="s">
        <v>172</v>
      </c>
      <c r="L1" s="4" t="s">
        <v>173</v>
      </c>
      <c r="M1" s="4" t="s">
        <v>174</v>
      </c>
      <c r="N1" s="4" t="s">
        <v>175</v>
      </c>
      <c r="O1" s="4" t="s">
        <v>176</v>
      </c>
      <c r="P1" s="4" t="s">
        <v>177</v>
      </c>
      <c r="Q1" s="4" t="s">
        <v>178</v>
      </c>
      <c r="R1" s="4" t="s">
        <v>179</v>
      </c>
      <c r="S1" s="4" t="s">
        <v>180</v>
      </c>
      <c r="T1" s="4" t="s">
        <v>181</v>
      </c>
      <c r="U1" s="4" t="s">
        <v>182</v>
      </c>
      <c r="V1" s="4" t="s">
        <v>183</v>
      </c>
      <c r="W1" s="4" t="s">
        <v>184</v>
      </c>
      <c r="X1" s="4" t="s">
        <v>185</v>
      </c>
      <c r="Y1" s="4" t="s">
        <v>186</v>
      </c>
      <c r="Z1" s="4" t="s">
        <v>187</v>
      </c>
      <c r="AA1" s="4" t="s">
        <v>188</v>
      </c>
      <c r="AB1" s="4" t="s">
        <v>189</v>
      </c>
      <c r="AC1" s="4" t="s">
        <v>190</v>
      </c>
      <c r="AD1" s="4" t="s">
        <v>191</v>
      </c>
      <c r="AE1" s="4" t="s">
        <v>139</v>
      </c>
      <c r="AF1" s="4" t="s">
        <v>192</v>
      </c>
      <c r="AG1" s="4" t="s">
        <v>23</v>
      </c>
      <c r="AH1" s="4" t="s">
        <v>193</v>
      </c>
      <c r="AI1" s="4" t="s">
        <v>194</v>
      </c>
    </row>
    <row r="2" spans="1:35" ht="16" customHeight="1" x14ac:dyDescent="0.35">
      <c r="A2" s="2" t="s">
        <v>195</v>
      </c>
      <c r="B2" s="2" t="s">
        <v>146</v>
      </c>
      <c r="C2" s="2" t="s">
        <v>238</v>
      </c>
      <c r="D2" s="2" t="s">
        <v>239</v>
      </c>
      <c r="E2" s="2" t="s">
        <v>240</v>
      </c>
      <c r="F2" s="37">
        <v>46255</v>
      </c>
      <c r="G2" s="17">
        <v>25</v>
      </c>
      <c r="H2" s="17"/>
      <c r="I2" s="17"/>
      <c r="J2" s="17">
        <v>0</v>
      </c>
      <c r="K2" s="17">
        <v>0</v>
      </c>
      <c r="L2" s="17" t="s">
        <v>503</v>
      </c>
      <c r="M2" s="17" t="s">
        <v>196</v>
      </c>
      <c r="N2" s="17" t="s">
        <v>503</v>
      </c>
      <c r="O2" s="17">
        <v>6</v>
      </c>
      <c r="P2" s="17" t="s">
        <v>27</v>
      </c>
      <c r="Q2" s="17">
        <v>0</v>
      </c>
      <c r="R2" s="17">
        <v>0</v>
      </c>
      <c r="S2" s="17">
        <v>0</v>
      </c>
      <c r="T2" s="17" t="s">
        <v>27</v>
      </c>
      <c r="U2" s="17" t="s">
        <v>503</v>
      </c>
      <c r="V2" s="17" t="s">
        <v>503</v>
      </c>
      <c r="W2" s="17" t="s">
        <v>503</v>
      </c>
      <c r="X2" s="17" t="s">
        <v>503</v>
      </c>
      <c r="Y2" s="17" t="s">
        <v>242</v>
      </c>
      <c r="Z2" s="17" t="s">
        <v>243</v>
      </c>
      <c r="AA2" s="17" t="s">
        <v>242</v>
      </c>
      <c r="AB2" s="17" t="s">
        <v>243</v>
      </c>
      <c r="AC2" s="17" t="s">
        <v>242</v>
      </c>
      <c r="AD2" s="17" t="s">
        <v>243</v>
      </c>
      <c r="AE2" s="17" t="s">
        <v>243</v>
      </c>
      <c r="AF2" s="17">
        <v>100</v>
      </c>
      <c r="AG2" s="17" t="s">
        <v>247</v>
      </c>
      <c r="AH2" s="17" t="s">
        <v>248</v>
      </c>
      <c r="AI2" s="17" t="s">
        <v>454</v>
      </c>
    </row>
    <row r="3" spans="1:35" ht="16" customHeight="1" x14ac:dyDescent="0.35">
      <c r="A3" s="2" t="s">
        <v>197</v>
      </c>
      <c r="B3" s="2" t="s">
        <v>147</v>
      </c>
      <c r="C3" s="2" t="s">
        <v>238</v>
      </c>
      <c r="D3" s="2" t="s">
        <v>239</v>
      </c>
      <c r="E3" s="2" t="s">
        <v>249</v>
      </c>
      <c r="F3" s="37">
        <v>46246</v>
      </c>
      <c r="G3" s="17">
        <v>0</v>
      </c>
      <c r="H3" s="17"/>
      <c r="I3" s="17"/>
      <c r="J3" s="17"/>
      <c r="K3" s="17"/>
      <c r="L3" s="17" t="s">
        <v>504</v>
      </c>
      <c r="M3" s="17"/>
      <c r="N3" s="17" t="s">
        <v>504</v>
      </c>
      <c r="O3" s="17"/>
      <c r="P3" s="17" t="s">
        <v>504</v>
      </c>
      <c r="Q3" s="17"/>
      <c r="R3" s="17"/>
      <c r="S3" s="17"/>
      <c r="T3" s="17" t="s">
        <v>504</v>
      </c>
      <c r="U3" s="17" t="s">
        <v>504</v>
      </c>
      <c r="V3" s="17"/>
      <c r="W3" s="17"/>
      <c r="X3" s="17"/>
      <c r="Y3" s="17" t="s">
        <v>251</v>
      </c>
      <c r="Z3" s="17" t="s">
        <v>252</v>
      </c>
      <c r="AA3" s="17" t="s">
        <v>251</v>
      </c>
      <c r="AB3" s="17" t="s">
        <v>252</v>
      </c>
      <c r="AC3" s="17" t="s">
        <v>251</v>
      </c>
      <c r="AD3" s="17" t="s">
        <v>252</v>
      </c>
      <c r="AE3" s="17" t="s">
        <v>252</v>
      </c>
      <c r="AF3" s="17">
        <v>0</v>
      </c>
      <c r="AG3" s="17" t="s">
        <v>256</v>
      </c>
      <c r="AH3" s="17" t="s">
        <v>257</v>
      </c>
      <c r="AI3" s="17" t="s">
        <v>505</v>
      </c>
    </row>
    <row r="4" spans="1:35" ht="16" customHeight="1" x14ac:dyDescent="0.35">
      <c r="A4" s="2" t="s">
        <v>198</v>
      </c>
      <c r="B4" s="2" t="s">
        <v>148</v>
      </c>
      <c r="C4" s="2" t="s">
        <v>258</v>
      </c>
      <c r="D4" s="2" t="s">
        <v>259</v>
      </c>
      <c r="E4" s="2" t="s">
        <v>260</v>
      </c>
      <c r="F4" s="37">
        <v>46248</v>
      </c>
      <c r="G4" s="17">
        <v>9</v>
      </c>
      <c r="H4" s="17">
        <v>2</v>
      </c>
      <c r="I4" s="17">
        <v>3</v>
      </c>
      <c r="J4" s="17">
        <v>3</v>
      </c>
      <c r="K4" s="17">
        <v>1</v>
      </c>
      <c r="L4" s="17" t="s">
        <v>28</v>
      </c>
      <c r="M4" s="17" t="s">
        <v>506</v>
      </c>
      <c r="N4" s="17" t="s">
        <v>28</v>
      </c>
      <c r="O4" s="17">
        <v>2</v>
      </c>
      <c r="P4" s="17" t="s">
        <v>28</v>
      </c>
      <c r="Q4" s="17">
        <v>0</v>
      </c>
      <c r="R4" s="17">
        <v>1</v>
      </c>
      <c r="S4" s="17">
        <v>0</v>
      </c>
      <c r="T4" s="17" t="s">
        <v>27</v>
      </c>
      <c r="U4" s="17" t="s">
        <v>28</v>
      </c>
      <c r="V4" s="17" t="s">
        <v>28</v>
      </c>
      <c r="W4" s="17" t="s">
        <v>28</v>
      </c>
      <c r="X4" s="17" t="s">
        <v>28</v>
      </c>
      <c r="Y4" s="17" t="s">
        <v>242</v>
      </c>
      <c r="Z4" s="17" t="s">
        <v>243</v>
      </c>
      <c r="AA4" s="17" t="s">
        <v>242</v>
      </c>
      <c r="AB4" s="17" t="s">
        <v>243</v>
      </c>
      <c r="AC4" s="17" t="s">
        <v>242</v>
      </c>
      <c r="AD4" s="17" t="s">
        <v>243</v>
      </c>
      <c r="AE4" s="17" t="s">
        <v>243</v>
      </c>
      <c r="AF4" s="17">
        <v>100</v>
      </c>
      <c r="AG4" s="17" t="s">
        <v>262</v>
      </c>
      <c r="AH4" s="17" t="s">
        <v>263</v>
      </c>
      <c r="AI4" s="17" t="s">
        <v>507</v>
      </c>
    </row>
    <row r="5" spans="1:35" ht="16" customHeight="1" x14ac:dyDescent="0.35">
      <c r="A5" s="2" t="s">
        <v>199</v>
      </c>
      <c r="B5" s="2" t="s">
        <v>149</v>
      </c>
      <c r="C5" s="2" t="s">
        <v>258</v>
      </c>
      <c r="D5" s="2" t="s">
        <v>264</v>
      </c>
      <c r="E5" s="2" t="s">
        <v>265</v>
      </c>
      <c r="F5" s="37">
        <v>46245</v>
      </c>
      <c r="G5" s="17">
        <v>22</v>
      </c>
      <c r="H5" s="17"/>
      <c r="I5" s="17"/>
      <c r="J5" s="17">
        <v>3</v>
      </c>
      <c r="K5" s="17">
        <v>2</v>
      </c>
      <c r="L5" s="17" t="s">
        <v>28</v>
      </c>
      <c r="M5" s="17" t="s">
        <v>506</v>
      </c>
      <c r="N5" s="17"/>
      <c r="O5" s="17"/>
      <c r="P5" s="17" t="s">
        <v>27</v>
      </c>
      <c r="Q5" s="17">
        <v>0</v>
      </c>
      <c r="R5" s="17">
        <v>0</v>
      </c>
      <c r="S5" s="17">
        <v>0</v>
      </c>
      <c r="T5" s="17" t="s">
        <v>27</v>
      </c>
      <c r="U5" s="17" t="s">
        <v>28</v>
      </c>
      <c r="V5" s="17" t="s">
        <v>28</v>
      </c>
      <c r="W5" s="17" t="s">
        <v>28</v>
      </c>
      <c r="X5" s="17" t="s">
        <v>27</v>
      </c>
      <c r="Y5" s="17" t="s">
        <v>295</v>
      </c>
      <c r="Z5" s="17" t="s">
        <v>296</v>
      </c>
      <c r="AA5" s="17" t="s">
        <v>266</v>
      </c>
      <c r="AB5" s="17" t="s">
        <v>267</v>
      </c>
      <c r="AC5" s="17" t="s">
        <v>242</v>
      </c>
      <c r="AD5" s="17" t="s">
        <v>243</v>
      </c>
      <c r="AE5" s="17" t="s">
        <v>267</v>
      </c>
      <c r="AF5" s="17">
        <v>100</v>
      </c>
      <c r="AG5" s="17" t="s">
        <v>508</v>
      </c>
      <c r="AH5" s="17" t="s">
        <v>263</v>
      </c>
      <c r="AI5" s="17" t="s">
        <v>507</v>
      </c>
    </row>
    <row r="6" spans="1:35" ht="16" customHeight="1" x14ac:dyDescent="0.35">
      <c r="A6" s="2" t="s">
        <v>200</v>
      </c>
      <c r="B6" s="2" t="s">
        <v>149</v>
      </c>
      <c r="C6" s="2" t="s">
        <v>258</v>
      </c>
      <c r="D6" s="2" t="s">
        <v>264</v>
      </c>
      <c r="E6" s="2" t="s">
        <v>265</v>
      </c>
      <c r="F6" s="37">
        <v>46248</v>
      </c>
      <c r="G6" s="17">
        <v>50</v>
      </c>
      <c r="H6" s="17">
        <v>18</v>
      </c>
      <c r="I6" s="17">
        <v>21</v>
      </c>
      <c r="J6" s="17">
        <v>6</v>
      </c>
      <c r="K6" s="17">
        <v>5</v>
      </c>
      <c r="L6" s="17" t="s">
        <v>28</v>
      </c>
      <c r="M6" s="17" t="s">
        <v>509</v>
      </c>
      <c r="N6" s="17" t="s">
        <v>28</v>
      </c>
      <c r="O6" s="17">
        <v>6</v>
      </c>
      <c r="P6" s="17" t="s">
        <v>27</v>
      </c>
      <c r="Q6" s="17">
        <v>0</v>
      </c>
      <c r="R6" s="17">
        <v>0</v>
      </c>
      <c r="S6" s="17">
        <v>0</v>
      </c>
      <c r="T6" s="17" t="s">
        <v>27</v>
      </c>
      <c r="U6" s="17" t="s">
        <v>28</v>
      </c>
      <c r="V6" s="17" t="s">
        <v>28</v>
      </c>
      <c r="W6" s="17" t="s">
        <v>28</v>
      </c>
      <c r="X6" s="17" t="s">
        <v>28</v>
      </c>
      <c r="Y6" s="17" t="s">
        <v>242</v>
      </c>
      <c r="Z6" s="17" t="s">
        <v>243</v>
      </c>
      <c r="AA6" s="17" t="s">
        <v>266</v>
      </c>
      <c r="AB6" s="17" t="s">
        <v>267</v>
      </c>
      <c r="AC6" s="17" t="s">
        <v>242</v>
      </c>
      <c r="AD6" s="17" t="s">
        <v>243</v>
      </c>
      <c r="AE6" s="17" t="s">
        <v>267</v>
      </c>
      <c r="AF6" s="17">
        <v>100</v>
      </c>
      <c r="AG6" s="17" t="s">
        <v>270</v>
      </c>
      <c r="AH6" s="17" t="s">
        <v>263</v>
      </c>
      <c r="AI6" s="17" t="s">
        <v>507</v>
      </c>
    </row>
    <row r="7" spans="1:35" ht="16" customHeight="1" x14ac:dyDescent="0.35">
      <c r="A7" s="2" t="s">
        <v>201</v>
      </c>
      <c r="B7" s="2" t="s">
        <v>150</v>
      </c>
      <c r="C7" s="2" t="s">
        <v>238</v>
      </c>
      <c r="D7" s="2" t="s">
        <v>271</v>
      </c>
      <c r="E7" s="2" t="s">
        <v>272</v>
      </c>
      <c r="F7" s="37">
        <v>46252</v>
      </c>
      <c r="G7" s="17">
        <v>9</v>
      </c>
      <c r="H7" s="17">
        <v>3</v>
      </c>
      <c r="I7" s="17">
        <v>3</v>
      </c>
      <c r="J7" s="17">
        <v>0</v>
      </c>
      <c r="K7" s="17">
        <v>3</v>
      </c>
      <c r="L7" s="17" t="s">
        <v>503</v>
      </c>
      <c r="M7" s="17" t="s">
        <v>510</v>
      </c>
      <c r="N7" s="17" t="s">
        <v>503</v>
      </c>
      <c r="O7" s="17">
        <v>4</v>
      </c>
      <c r="P7" s="17" t="s">
        <v>27</v>
      </c>
      <c r="Q7" s="17">
        <v>0</v>
      </c>
      <c r="R7" s="17">
        <v>0</v>
      </c>
      <c r="S7" s="17">
        <v>0</v>
      </c>
      <c r="T7" s="17" t="s">
        <v>27</v>
      </c>
      <c r="U7" s="17" t="s">
        <v>27</v>
      </c>
      <c r="V7" s="17" t="s">
        <v>511</v>
      </c>
      <c r="W7" s="17" t="s">
        <v>511</v>
      </c>
      <c r="X7" s="17" t="s">
        <v>511</v>
      </c>
      <c r="Y7" s="17" t="s">
        <v>242</v>
      </c>
      <c r="Z7" s="17" t="s">
        <v>243</v>
      </c>
      <c r="AA7" s="17" t="s">
        <v>273</v>
      </c>
      <c r="AB7" s="17" t="s">
        <v>243</v>
      </c>
      <c r="AC7" s="17" t="s">
        <v>242</v>
      </c>
      <c r="AD7" s="17" t="s">
        <v>243</v>
      </c>
      <c r="AE7" s="17" t="s">
        <v>243</v>
      </c>
      <c r="AF7" s="17">
        <v>100</v>
      </c>
      <c r="AG7" s="17" t="s">
        <v>276</v>
      </c>
      <c r="AH7" s="17" t="s">
        <v>277</v>
      </c>
      <c r="AI7" s="17" t="s">
        <v>454</v>
      </c>
    </row>
    <row r="8" spans="1:35" ht="16" customHeight="1" x14ac:dyDescent="0.35">
      <c r="A8" s="2" t="s">
        <v>202</v>
      </c>
      <c r="B8" s="2" t="s">
        <v>151</v>
      </c>
      <c r="C8" s="2" t="s">
        <v>238</v>
      </c>
      <c r="D8" s="2" t="s">
        <v>278</v>
      </c>
      <c r="E8" s="2" t="s">
        <v>279</v>
      </c>
      <c r="F8" s="37">
        <v>46246</v>
      </c>
      <c r="G8" s="17">
        <v>40</v>
      </c>
      <c r="H8" s="17">
        <v>13</v>
      </c>
      <c r="I8" s="17">
        <v>11</v>
      </c>
      <c r="J8" s="17">
        <v>7</v>
      </c>
      <c r="K8" s="17">
        <v>9</v>
      </c>
      <c r="L8" s="17" t="s">
        <v>28</v>
      </c>
      <c r="M8" s="17" t="s">
        <v>506</v>
      </c>
      <c r="N8" s="17" t="s">
        <v>28</v>
      </c>
      <c r="O8" s="17">
        <v>2</v>
      </c>
      <c r="P8" s="17" t="s">
        <v>28</v>
      </c>
      <c r="Q8" s="17">
        <v>0</v>
      </c>
      <c r="R8" s="17">
        <v>1</v>
      </c>
      <c r="S8" s="17">
        <v>0</v>
      </c>
      <c r="T8" s="17" t="s">
        <v>27</v>
      </c>
      <c r="U8" s="17" t="s">
        <v>27</v>
      </c>
      <c r="V8" s="17"/>
      <c r="W8" s="17"/>
      <c r="X8" s="17"/>
      <c r="Y8" s="17" t="s">
        <v>242</v>
      </c>
      <c r="Z8" s="17" t="s">
        <v>243</v>
      </c>
      <c r="AA8" s="17" t="s">
        <v>273</v>
      </c>
      <c r="AB8" s="17" t="s">
        <v>243</v>
      </c>
      <c r="AC8" s="17" t="s">
        <v>242</v>
      </c>
      <c r="AD8" s="17" t="s">
        <v>243</v>
      </c>
      <c r="AE8" s="17" t="s">
        <v>243</v>
      </c>
      <c r="AF8" s="17">
        <v>100</v>
      </c>
      <c r="AG8" s="17" t="s">
        <v>280</v>
      </c>
      <c r="AH8" s="17" t="s">
        <v>263</v>
      </c>
      <c r="AI8" s="17" t="s">
        <v>507</v>
      </c>
    </row>
    <row r="9" spans="1:35" ht="16" customHeight="1" x14ac:dyDescent="0.35">
      <c r="A9" s="2" t="s">
        <v>203</v>
      </c>
      <c r="B9" s="2" t="s">
        <v>152</v>
      </c>
      <c r="C9" s="2" t="s">
        <v>238</v>
      </c>
      <c r="D9" s="2" t="s">
        <v>281</v>
      </c>
      <c r="E9" s="2" t="s">
        <v>282</v>
      </c>
      <c r="F9" s="37">
        <v>46246</v>
      </c>
      <c r="G9" s="17">
        <v>16</v>
      </c>
      <c r="H9" s="17">
        <v>5</v>
      </c>
      <c r="I9" s="17">
        <v>3</v>
      </c>
      <c r="J9" s="17">
        <v>4</v>
      </c>
      <c r="K9" s="17">
        <v>4</v>
      </c>
      <c r="L9" s="17" t="s">
        <v>28</v>
      </c>
      <c r="M9" s="17" t="s">
        <v>506</v>
      </c>
      <c r="N9" s="17" t="s">
        <v>28</v>
      </c>
      <c r="O9" s="17">
        <v>4</v>
      </c>
      <c r="P9" s="17" t="s">
        <v>28</v>
      </c>
      <c r="Q9" s="17">
        <v>0</v>
      </c>
      <c r="R9" s="17">
        <v>1</v>
      </c>
      <c r="S9" s="17">
        <v>1</v>
      </c>
      <c r="T9" s="17" t="s">
        <v>27</v>
      </c>
      <c r="U9" s="17" t="s">
        <v>27</v>
      </c>
      <c r="V9" s="17"/>
      <c r="W9" s="17"/>
      <c r="X9" s="17"/>
      <c r="Y9" s="17" t="s">
        <v>242</v>
      </c>
      <c r="Z9" s="17" t="s">
        <v>243</v>
      </c>
      <c r="AA9" s="17" t="s">
        <v>273</v>
      </c>
      <c r="AB9" s="17" t="s">
        <v>243</v>
      </c>
      <c r="AC9" s="17" t="s">
        <v>242</v>
      </c>
      <c r="AD9" s="17" t="s">
        <v>243</v>
      </c>
      <c r="AE9" s="17" t="s">
        <v>243</v>
      </c>
      <c r="AF9" s="17">
        <v>100</v>
      </c>
      <c r="AG9" s="17" t="s">
        <v>284</v>
      </c>
      <c r="AH9" s="17" t="s">
        <v>263</v>
      </c>
      <c r="AI9" s="17" t="s">
        <v>507</v>
      </c>
    </row>
    <row r="10" spans="1:35" ht="16" customHeight="1" x14ac:dyDescent="0.35">
      <c r="A10" s="2" t="s">
        <v>204</v>
      </c>
      <c r="B10" s="2" t="s">
        <v>153</v>
      </c>
      <c r="C10" s="2" t="s">
        <v>238</v>
      </c>
      <c r="D10" s="2" t="s">
        <v>285</v>
      </c>
      <c r="E10" s="2" t="s">
        <v>286</v>
      </c>
      <c r="F10" s="37">
        <v>46246</v>
      </c>
      <c r="G10" s="17">
        <v>5</v>
      </c>
      <c r="H10" s="17"/>
      <c r="I10" s="17"/>
      <c r="J10" s="17"/>
      <c r="K10" s="17"/>
      <c r="L10" s="17" t="s">
        <v>504</v>
      </c>
      <c r="M10" s="17"/>
      <c r="N10" s="17" t="s">
        <v>504</v>
      </c>
      <c r="O10" s="17"/>
      <c r="P10" s="17" t="s">
        <v>504</v>
      </c>
      <c r="Q10" s="17"/>
      <c r="R10" s="17"/>
      <c r="S10" s="17"/>
      <c r="T10" s="17" t="s">
        <v>504</v>
      </c>
      <c r="U10" s="17" t="s">
        <v>504</v>
      </c>
      <c r="V10" s="17"/>
      <c r="W10" s="17"/>
      <c r="X10" s="17"/>
      <c r="Y10" s="17" t="s">
        <v>251</v>
      </c>
      <c r="Z10" s="17" t="s">
        <v>252</v>
      </c>
      <c r="AA10" s="17" t="s">
        <v>251</v>
      </c>
      <c r="AB10" s="17" t="s">
        <v>252</v>
      </c>
      <c r="AC10" s="17" t="s">
        <v>251</v>
      </c>
      <c r="AD10" s="17" t="s">
        <v>252</v>
      </c>
      <c r="AE10" s="17" t="s">
        <v>252</v>
      </c>
      <c r="AF10" s="17">
        <v>0</v>
      </c>
      <c r="AG10" s="17" t="s">
        <v>287</v>
      </c>
      <c r="AH10" s="17" t="s">
        <v>288</v>
      </c>
      <c r="AI10" s="17" t="s">
        <v>512</v>
      </c>
    </row>
    <row r="11" spans="1:35" ht="16" customHeight="1" x14ac:dyDescent="0.35">
      <c r="A11" s="2" t="s">
        <v>205</v>
      </c>
      <c r="B11" s="2" t="s">
        <v>154</v>
      </c>
      <c r="C11" s="2" t="s">
        <v>238</v>
      </c>
      <c r="D11" s="2" t="s">
        <v>285</v>
      </c>
      <c r="E11" s="2" t="s">
        <v>289</v>
      </c>
      <c r="F11" s="37">
        <v>46246</v>
      </c>
      <c r="G11" s="17">
        <v>0</v>
      </c>
      <c r="H11" s="17"/>
      <c r="I11" s="17"/>
      <c r="J11" s="17"/>
      <c r="K11" s="17"/>
      <c r="L11" s="17" t="s">
        <v>504</v>
      </c>
      <c r="M11" s="17"/>
      <c r="N11" s="17" t="s">
        <v>504</v>
      </c>
      <c r="O11" s="17"/>
      <c r="P11" s="17" t="s">
        <v>504</v>
      </c>
      <c r="Q11" s="17"/>
      <c r="R11" s="17"/>
      <c r="S11" s="17"/>
      <c r="T11" s="17" t="s">
        <v>504</v>
      </c>
      <c r="U11" s="17" t="s">
        <v>504</v>
      </c>
      <c r="V11" s="17"/>
      <c r="W11" s="17"/>
      <c r="X11" s="17"/>
      <c r="Y11" s="17" t="s">
        <v>251</v>
      </c>
      <c r="Z11" s="17" t="s">
        <v>252</v>
      </c>
      <c r="AA11" s="17" t="s">
        <v>251</v>
      </c>
      <c r="AB11" s="17" t="s">
        <v>252</v>
      </c>
      <c r="AC11" s="17" t="s">
        <v>251</v>
      </c>
      <c r="AD11" s="17" t="s">
        <v>252</v>
      </c>
      <c r="AE11" s="17" t="s">
        <v>252</v>
      </c>
      <c r="AF11" s="17">
        <v>0</v>
      </c>
      <c r="AG11" s="17" t="s">
        <v>290</v>
      </c>
      <c r="AH11" s="17" t="s">
        <v>291</v>
      </c>
      <c r="AI11" s="17" t="s">
        <v>513</v>
      </c>
    </row>
    <row r="12" spans="1:35" ht="16" customHeight="1" x14ac:dyDescent="0.35">
      <c r="A12" s="2" t="s">
        <v>206</v>
      </c>
      <c r="B12" s="2" t="s">
        <v>155</v>
      </c>
      <c r="C12" s="2" t="s">
        <v>258</v>
      </c>
      <c r="D12" s="2" t="s">
        <v>292</v>
      </c>
      <c r="E12" s="2" t="s">
        <v>293</v>
      </c>
      <c r="F12" s="37">
        <v>46253</v>
      </c>
      <c r="G12" s="17"/>
      <c r="H12" s="17"/>
      <c r="I12" s="17"/>
      <c r="J12" s="17">
        <v>5</v>
      </c>
      <c r="K12" s="17">
        <v>9</v>
      </c>
      <c r="L12" s="17" t="s">
        <v>28</v>
      </c>
      <c r="M12" s="17" t="s">
        <v>514</v>
      </c>
      <c r="N12" s="17" t="s">
        <v>28</v>
      </c>
      <c r="O12" s="17">
        <v>5</v>
      </c>
      <c r="P12" s="17" t="s">
        <v>28</v>
      </c>
      <c r="Q12" s="17">
        <v>0</v>
      </c>
      <c r="R12" s="17">
        <v>6</v>
      </c>
      <c r="S12" s="17">
        <v>0</v>
      </c>
      <c r="T12" s="17" t="s">
        <v>27</v>
      </c>
      <c r="U12" s="17" t="s">
        <v>27</v>
      </c>
      <c r="V12" s="17" t="s">
        <v>511</v>
      </c>
      <c r="W12" s="17"/>
      <c r="X12" s="17"/>
      <c r="Y12" s="17" t="s">
        <v>242</v>
      </c>
      <c r="Z12" s="17" t="s">
        <v>243</v>
      </c>
      <c r="AA12" s="17" t="s">
        <v>295</v>
      </c>
      <c r="AB12" s="17" t="s">
        <v>296</v>
      </c>
      <c r="AC12" s="17" t="s">
        <v>297</v>
      </c>
      <c r="AD12" s="17" t="s">
        <v>296</v>
      </c>
      <c r="AE12" s="17" t="s">
        <v>296</v>
      </c>
      <c r="AF12" s="17">
        <v>100</v>
      </c>
      <c r="AG12" s="17"/>
      <c r="AH12" s="17" t="s">
        <v>263</v>
      </c>
      <c r="AI12" s="17" t="s">
        <v>507</v>
      </c>
    </row>
    <row r="13" spans="1:35" ht="16" customHeight="1" x14ac:dyDescent="0.35">
      <c r="A13" s="2" t="s">
        <v>207</v>
      </c>
      <c r="B13" s="2" t="s">
        <v>156</v>
      </c>
      <c r="C13" s="2" t="s">
        <v>258</v>
      </c>
      <c r="D13" s="2" t="s">
        <v>301</v>
      </c>
      <c r="E13" s="2" t="s">
        <v>302</v>
      </c>
      <c r="F13" s="37">
        <v>46246</v>
      </c>
      <c r="G13" s="17">
        <v>16</v>
      </c>
      <c r="H13" s="17">
        <v>6</v>
      </c>
      <c r="I13" s="17">
        <v>4</v>
      </c>
      <c r="J13" s="17">
        <v>2</v>
      </c>
      <c r="K13" s="17">
        <v>4</v>
      </c>
      <c r="L13" s="17" t="s">
        <v>28</v>
      </c>
      <c r="M13" s="17" t="s">
        <v>515</v>
      </c>
      <c r="N13" s="17" t="s">
        <v>28</v>
      </c>
      <c r="O13" s="17" t="s">
        <v>312</v>
      </c>
      <c r="P13" s="17" t="s">
        <v>28</v>
      </c>
      <c r="Q13" s="17">
        <v>1</v>
      </c>
      <c r="R13" s="17">
        <v>3</v>
      </c>
      <c r="S13" s="17">
        <v>0</v>
      </c>
      <c r="T13" s="17" t="s">
        <v>27</v>
      </c>
      <c r="U13" s="17" t="s">
        <v>27</v>
      </c>
      <c r="V13" s="17" t="s">
        <v>511</v>
      </c>
      <c r="W13" s="17"/>
      <c r="X13" s="17"/>
      <c r="Y13" s="17" t="s">
        <v>242</v>
      </c>
      <c r="Z13" s="17" t="s">
        <v>243</v>
      </c>
      <c r="AA13" s="17" t="s">
        <v>295</v>
      </c>
      <c r="AB13" s="17" t="s">
        <v>296</v>
      </c>
      <c r="AC13" s="17" t="s">
        <v>297</v>
      </c>
      <c r="AD13" s="17" t="s">
        <v>296</v>
      </c>
      <c r="AE13" s="17" t="s">
        <v>296</v>
      </c>
      <c r="AF13" s="17">
        <v>100</v>
      </c>
      <c r="AG13" s="17"/>
      <c r="AH13" s="17" t="s">
        <v>263</v>
      </c>
      <c r="AI13" s="17" t="s">
        <v>507</v>
      </c>
    </row>
    <row r="14" spans="1:35" ht="16" customHeight="1" x14ac:dyDescent="0.35">
      <c r="A14" s="2" t="s">
        <v>208</v>
      </c>
      <c r="B14" s="2" t="s">
        <v>157</v>
      </c>
      <c r="C14" s="2" t="s">
        <v>238</v>
      </c>
      <c r="D14" s="2" t="s">
        <v>305</v>
      </c>
      <c r="E14" s="2" t="s">
        <v>306</v>
      </c>
      <c r="F14" s="37">
        <v>46246</v>
      </c>
      <c r="G14" s="17">
        <v>32</v>
      </c>
      <c r="H14" s="17"/>
      <c r="I14" s="17"/>
      <c r="J14" s="17"/>
      <c r="K14" s="17"/>
      <c r="L14" s="17" t="s">
        <v>27</v>
      </c>
      <c r="M14" s="17" t="s">
        <v>516</v>
      </c>
      <c r="N14" s="17" t="s">
        <v>28</v>
      </c>
      <c r="O14" s="17">
        <v>2</v>
      </c>
      <c r="P14" s="17" t="s">
        <v>27</v>
      </c>
      <c r="Q14" s="17">
        <v>0</v>
      </c>
      <c r="R14" s="17">
        <v>0</v>
      </c>
      <c r="S14" s="17">
        <v>0</v>
      </c>
      <c r="T14" s="17" t="s">
        <v>27</v>
      </c>
      <c r="U14" s="17" t="s">
        <v>27</v>
      </c>
      <c r="V14" s="17"/>
      <c r="W14" s="17"/>
      <c r="X14" s="17"/>
      <c r="Y14" s="17" t="s">
        <v>266</v>
      </c>
      <c r="Z14" s="17" t="s">
        <v>267</v>
      </c>
      <c r="AA14" s="17" t="s">
        <v>273</v>
      </c>
      <c r="AB14" s="17" t="s">
        <v>243</v>
      </c>
      <c r="AC14" s="17" t="s">
        <v>242</v>
      </c>
      <c r="AD14" s="17" t="s">
        <v>243</v>
      </c>
      <c r="AE14" s="17" t="s">
        <v>267</v>
      </c>
      <c r="AF14" s="17">
        <v>100</v>
      </c>
      <c r="AG14" s="17" t="s">
        <v>309</v>
      </c>
      <c r="AH14" s="17" t="s">
        <v>263</v>
      </c>
      <c r="AI14" s="17" t="s">
        <v>507</v>
      </c>
    </row>
    <row r="15" spans="1:35" ht="16" customHeight="1" x14ac:dyDescent="0.35">
      <c r="A15" s="2" t="s">
        <v>209</v>
      </c>
      <c r="B15" s="2" t="s">
        <v>158</v>
      </c>
      <c r="C15" s="2" t="s">
        <v>238</v>
      </c>
      <c r="D15" s="2" t="s">
        <v>305</v>
      </c>
      <c r="E15" s="2" t="s">
        <v>310</v>
      </c>
      <c r="F15" s="37">
        <v>46254</v>
      </c>
      <c r="G15" s="17" t="s">
        <v>312</v>
      </c>
      <c r="H15" s="17"/>
      <c r="I15" s="17"/>
      <c r="J15" s="17"/>
      <c r="K15" s="17"/>
      <c r="L15" s="17" t="s">
        <v>503</v>
      </c>
      <c r="M15" s="17" t="s">
        <v>517</v>
      </c>
      <c r="N15" s="17" t="s">
        <v>503</v>
      </c>
      <c r="O15" s="17">
        <v>10</v>
      </c>
      <c r="P15" s="17" t="s">
        <v>504</v>
      </c>
      <c r="Q15" s="17"/>
      <c r="R15" s="17"/>
      <c r="S15" s="17"/>
      <c r="T15" s="17" t="s">
        <v>504</v>
      </c>
      <c r="U15" s="17" t="s">
        <v>503</v>
      </c>
      <c r="V15" s="17" t="s">
        <v>503</v>
      </c>
      <c r="W15" s="17" t="s">
        <v>504</v>
      </c>
      <c r="X15" s="17" t="s">
        <v>503</v>
      </c>
      <c r="Y15" s="17" t="s">
        <v>242</v>
      </c>
      <c r="Z15" s="17" t="s">
        <v>243</v>
      </c>
      <c r="AA15" s="17" t="s">
        <v>242</v>
      </c>
      <c r="AB15" s="17" t="s">
        <v>243</v>
      </c>
      <c r="AC15" s="17" t="s">
        <v>251</v>
      </c>
      <c r="AD15" s="17" t="s">
        <v>252</v>
      </c>
      <c r="AE15" s="17" t="s">
        <v>243</v>
      </c>
      <c r="AF15" s="17">
        <v>67</v>
      </c>
      <c r="AG15" s="17" t="s">
        <v>314</v>
      </c>
      <c r="AH15" s="17" t="s">
        <v>315</v>
      </c>
      <c r="AI15" s="17" t="s">
        <v>454</v>
      </c>
    </row>
    <row r="16" spans="1:35" ht="16" customHeight="1" x14ac:dyDescent="0.35">
      <c r="A16" s="2" t="s">
        <v>210</v>
      </c>
      <c r="B16" s="2" t="s">
        <v>159</v>
      </c>
      <c r="C16" s="2" t="s">
        <v>258</v>
      </c>
      <c r="D16" s="2" t="s">
        <v>316</v>
      </c>
      <c r="E16" s="2" t="s">
        <v>317</v>
      </c>
      <c r="F16" s="37">
        <v>46248</v>
      </c>
      <c r="G16" s="17">
        <v>10</v>
      </c>
      <c r="H16" s="17">
        <v>4</v>
      </c>
      <c r="I16" s="17">
        <v>3</v>
      </c>
      <c r="J16" s="17">
        <v>2</v>
      </c>
      <c r="K16" s="17">
        <v>1</v>
      </c>
      <c r="L16" s="17" t="s">
        <v>28</v>
      </c>
      <c r="M16" s="17" t="s">
        <v>518</v>
      </c>
      <c r="N16" s="17" t="s">
        <v>28</v>
      </c>
      <c r="O16" s="17">
        <v>12</v>
      </c>
      <c r="P16" s="17" t="s">
        <v>28</v>
      </c>
      <c r="Q16" s="17">
        <v>0</v>
      </c>
      <c r="R16" s="17">
        <v>1</v>
      </c>
      <c r="S16" s="17">
        <v>0</v>
      </c>
      <c r="T16" s="17" t="s">
        <v>27</v>
      </c>
      <c r="U16" s="17" t="s">
        <v>27</v>
      </c>
      <c r="V16" s="17" t="s">
        <v>511</v>
      </c>
      <c r="W16" s="17" t="s">
        <v>511</v>
      </c>
      <c r="X16" s="17" t="s">
        <v>511</v>
      </c>
      <c r="Y16" s="17" t="s">
        <v>242</v>
      </c>
      <c r="Z16" s="17" t="s">
        <v>243</v>
      </c>
      <c r="AA16" s="17" t="s">
        <v>297</v>
      </c>
      <c r="AB16" s="17" t="s">
        <v>296</v>
      </c>
      <c r="AC16" s="17" t="s">
        <v>242</v>
      </c>
      <c r="AD16" s="17" t="s">
        <v>243</v>
      </c>
      <c r="AE16" s="17" t="s">
        <v>296</v>
      </c>
      <c r="AF16" s="17">
        <v>100</v>
      </c>
      <c r="AG16" s="17" t="s">
        <v>320</v>
      </c>
      <c r="AH16" s="17" t="s">
        <v>263</v>
      </c>
      <c r="AI16" s="17" t="s">
        <v>507</v>
      </c>
    </row>
    <row r="17" spans="1:35" ht="16" customHeight="1" x14ac:dyDescent="0.35">
      <c r="A17" s="2" t="s">
        <v>211</v>
      </c>
      <c r="B17" s="2" t="s">
        <v>160</v>
      </c>
      <c r="C17" s="2" t="s">
        <v>238</v>
      </c>
      <c r="D17" s="2" t="s">
        <v>321</v>
      </c>
      <c r="E17" s="2" t="s">
        <v>322</v>
      </c>
      <c r="F17" s="37">
        <v>46247</v>
      </c>
      <c r="G17" s="17">
        <v>11</v>
      </c>
      <c r="H17" s="17">
        <v>2</v>
      </c>
      <c r="I17" s="17">
        <v>3</v>
      </c>
      <c r="J17" s="17">
        <v>4</v>
      </c>
      <c r="K17" s="17">
        <v>2</v>
      </c>
      <c r="L17" s="17" t="s">
        <v>519</v>
      </c>
      <c r="M17" s="17" t="s">
        <v>312</v>
      </c>
      <c r="N17" s="17" t="s">
        <v>28</v>
      </c>
      <c r="O17" s="17">
        <v>9</v>
      </c>
      <c r="P17" s="17" t="s">
        <v>28</v>
      </c>
      <c r="Q17" s="17">
        <v>0</v>
      </c>
      <c r="R17" s="17">
        <v>1</v>
      </c>
      <c r="S17" s="17">
        <v>0</v>
      </c>
      <c r="T17" s="17" t="s">
        <v>27</v>
      </c>
      <c r="U17" s="17" t="s">
        <v>27</v>
      </c>
      <c r="V17" s="17"/>
      <c r="W17" s="17"/>
      <c r="X17" s="17"/>
      <c r="Y17" s="17" t="s">
        <v>297</v>
      </c>
      <c r="Z17" s="17" t="s">
        <v>296</v>
      </c>
      <c r="AA17" s="17" t="s">
        <v>295</v>
      </c>
      <c r="AB17" s="17" t="s">
        <v>296</v>
      </c>
      <c r="AC17" s="17" t="s">
        <v>242</v>
      </c>
      <c r="AD17" s="17" t="s">
        <v>243</v>
      </c>
      <c r="AE17" s="17" t="s">
        <v>296</v>
      </c>
      <c r="AF17" s="17">
        <v>100</v>
      </c>
      <c r="AG17" s="17" t="s">
        <v>325</v>
      </c>
      <c r="AH17" s="17" t="s">
        <v>263</v>
      </c>
      <c r="AI17" s="17" t="s">
        <v>507</v>
      </c>
    </row>
    <row r="18" spans="1:35" ht="16" customHeight="1" x14ac:dyDescent="0.35">
      <c r="A18" s="2" t="s">
        <v>212</v>
      </c>
      <c r="B18" s="2" t="s">
        <v>161</v>
      </c>
      <c r="C18" s="2" t="s">
        <v>258</v>
      </c>
      <c r="D18" s="2" t="s">
        <v>326</v>
      </c>
      <c r="E18" s="2" t="s">
        <v>327</v>
      </c>
      <c r="F18" s="37">
        <v>46248</v>
      </c>
      <c r="G18" s="17">
        <v>50</v>
      </c>
      <c r="H18" s="17">
        <v>21</v>
      </c>
      <c r="I18" s="17">
        <v>21</v>
      </c>
      <c r="J18" s="17">
        <v>5</v>
      </c>
      <c r="K18" s="17">
        <v>3</v>
      </c>
      <c r="L18" s="17" t="s">
        <v>28</v>
      </c>
      <c r="M18" s="17" t="s">
        <v>506</v>
      </c>
      <c r="N18" s="17" t="s">
        <v>28</v>
      </c>
      <c r="O18" s="17">
        <v>3</v>
      </c>
      <c r="P18" s="17" t="s">
        <v>27</v>
      </c>
      <c r="Q18" s="17">
        <v>0</v>
      </c>
      <c r="R18" s="17">
        <v>0</v>
      </c>
      <c r="S18" s="17">
        <v>0</v>
      </c>
      <c r="T18" s="17" t="s">
        <v>511</v>
      </c>
      <c r="U18" s="17" t="s">
        <v>27</v>
      </c>
      <c r="V18" s="17" t="s">
        <v>511</v>
      </c>
      <c r="W18" s="17" t="s">
        <v>511</v>
      </c>
      <c r="X18" s="17" t="s">
        <v>511</v>
      </c>
      <c r="Y18" s="17" t="s">
        <v>242</v>
      </c>
      <c r="Z18" s="17" t="s">
        <v>243</v>
      </c>
      <c r="AA18" s="17" t="s">
        <v>273</v>
      </c>
      <c r="AB18" s="17" t="s">
        <v>243</v>
      </c>
      <c r="AC18" s="17" t="s">
        <v>242</v>
      </c>
      <c r="AD18" s="17" t="s">
        <v>243</v>
      </c>
      <c r="AE18" s="17" t="s">
        <v>243</v>
      </c>
      <c r="AF18" s="17">
        <v>100</v>
      </c>
      <c r="AG18" s="17" t="s">
        <v>329</v>
      </c>
      <c r="AH18" s="17" t="s">
        <v>263</v>
      </c>
      <c r="AI18" s="17" t="s">
        <v>507</v>
      </c>
    </row>
    <row r="19" spans="1:35" ht="16" customHeight="1" x14ac:dyDescent="0.35">
      <c r="A19" s="2" t="s">
        <v>213</v>
      </c>
      <c r="B19" s="2" t="s">
        <v>162</v>
      </c>
      <c r="C19" s="2" t="s">
        <v>258</v>
      </c>
      <c r="D19" s="2" t="s">
        <v>330</v>
      </c>
      <c r="E19" s="2" t="s">
        <v>331</v>
      </c>
      <c r="F19" s="37">
        <v>46247</v>
      </c>
      <c r="G19" s="17">
        <v>6</v>
      </c>
      <c r="H19" s="17" t="s">
        <v>214</v>
      </c>
      <c r="I19" s="17" t="s">
        <v>214</v>
      </c>
      <c r="J19" s="17">
        <v>2</v>
      </c>
      <c r="K19" s="17">
        <v>1</v>
      </c>
      <c r="L19" s="17" t="s">
        <v>28</v>
      </c>
      <c r="M19" s="17" t="s">
        <v>506</v>
      </c>
      <c r="N19" s="17" t="s">
        <v>28</v>
      </c>
      <c r="O19" s="17" t="s">
        <v>214</v>
      </c>
      <c r="P19" s="17" t="s">
        <v>27</v>
      </c>
      <c r="Q19" s="17">
        <v>0</v>
      </c>
      <c r="R19" s="17">
        <v>0</v>
      </c>
      <c r="S19" s="17">
        <v>0</v>
      </c>
      <c r="T19" s="17" t="s">
        <v>511</v>
      </c>
      <c r="U19" s="17" t="s">
        <v>27</v>
      </c>
      <c r="V19" s="17" t="s">
        <v>511</v>
      </c>
      <c r="W19" s="17" t="s">
        <v>511</v>
      </c>
      <c r="X19" s="17" t="s">
        <v>511</v>
      </c>
      <c r="Y19" s="17" t="s">
        <v>242</v>
      </c>
      <c r="Z19" s="17" t="s">
        <v>243</v>
      </c>
      <c r="AA19" s="17" t="s">
        <v>273</v>
      </c>
      <c r="AB19" s="17" t="s">
        <v>243</v>
      </c>
      <c r="AC19" s="17" t="s">
        <v>242</v>
      </c>
      <c r="AD19" s="17" t="s">
        <v>243</v>
      </c>
      <c r="AE19" s="17" t="s">
        <v>243</v>
      </c>
      <c r="AF19" s="17">
        <v>100</v>
      </c>
      <c r="AG19" s="17" t="s">
        <v>333</v>
      </c>
      <c r="AH19" s="17" t="s">
        <v>263</v>
      </c>
      <c r="AI19" s="17" t="s">
        <v>507</v>
      </c>
    </row>
    <row r="20" spans="1:35" ht="16" customHeight="1" x14ac:dyDescent="0.35">
      <c r="A20" s="2" t="s">
        <v>215</v>
      </c>
      <c r="B20" s="2" t="s">
        <v>163</v>
      </c>
      <c r="C20" s="2" t="s">
        <v>258</v>
      </c>
      <c r="D20" s="2" t="s">
        <v>330</v>
      </c>
      <c r="E20" s="2" t="s">
        <v>334</v>
      </c>
      <c r="F20" s="37">
        <v>46246</v>
      </c>
      <c r="G20" s="17">
        <v>11</v>
      </c>
      <c r="H20" s="17">
        <v>2</v>
      </c>
      <c r="I20" s="17">
        <v>2</v>
      </c>
      <c r="J20" s="17">
        <v>4</v>
      </c>
      <c r="K20" s="17">
        <v>3</v>
      </c>
      <c r="L20" s="17" t="s">
        <v>28</v>
      </c>
      <c r="M20" s="17" t="s">
        <v>506</v>
      </c>
      <c r="N20" s="17"/>
      <c r="O20" s="17"/>
      <c r="P20" s="17" t="s">
        <v>27</v>
      </c>
      <c r="Q20" s="17">
        <v>0</v>
      </c>
      <c r="R20" s="17">
        <v>0</v>
      </c>
      <c r="S20" s="17">
        <v>0</v>
      </c>
      <c r="T20" s="17"/>
      <c r="U20" s="17" t="s">
        <v>27</v>
      </c>
      <c r="V20" s="17" t="s">
        <v>511</v>
      </c>
      <c r="W20" s="17"/>
      <c r="X20" s="17"/>
      <c r="Y20" s="17" t="s">
        <v>295</v>
      </c>
      <c r="Z20" s="17" t="s">
        <v>296</v>
      </c>
      <c r="AA20" s="17" t="s">
        <v>295</v>
      </c>
      <c r="AB20" s="17" t="s">
        <v>296</v>
      </c>
      <c r="AC20" s="17" t="s">
        <v>242</v>
      </c>
      <c r="AD20" s="17" t="s">
        <v>243</v>
      </c>
      <c r="AE20" s="17" t="s">
        <v>296</v>
      </c>
      <c r="AF20" s="17">
        <v>100</v>
      </c>
      <c r="AG20" s="17"/>
      <c r="AH20" s="17" t="s">
        <v>263</v>
      </c>
      <c r="AI20" s="17" t="s">
        <v>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
  <sheetViews>
    <sheetView showGridLines="0" workbookViewId="0">
      <selection activeCell="H7" sqref="H7"/>
    </sheetView>
  </sheetViews>
  <sheetFormatPr baseColWidth="10" defaultColWidth="8.7265625" defaultRowHeight="14.5" x14ac:dyDescent="0.35"/>
  <cols>
    <col min="1" max="1" width="20.90625" customWidth="1"/>
    <col min="2" max="2" width="13.1796875" style="8" customWidth="1"/>
    <col min="3" max="3" width="12.7265625" style="8" customWidth="1"/>
    <col min="4" max="4" width="13.7265625" style="8" customWidth="1"/>
    <col min="5" max="5" width="15.453125" style="8" customWidth="1"/>
    <col min="6" max="6" width="11.08984375" style="8" customWidth="1"/>
    <col min="7" max="7" width="16" style="8" customWidth="1"/>
    <col min="8" max="8" width="20.08984375" style="8" customWidth="1"/>
  </cols>
  <sheetData>
    <row r="1" spans="1:8" ht="46.5" customHeight="1" x14ac:dyDescent="0.35">
      <c r="A1" s="7" t="s">
        <v>20</v>
      </c>
      <c r="B1" s="36" t="s">
        <v>216</v>
      </c>
      <c r="C1" s="38" t="s">
        <v>521</v>
      </c>
      <c r="D1" s="38" t="s">
        <v>520</v>
      </c>
      <c r="E1" s="39" t="s">
        <v>522</v>
      </c>
      <c r="F1" s="35" t="s">
        <v>217</v>
      </c>
      <c r="G1" s="39" t="s">
        <v>523</v>
      </c>
      <c r="H1" s="39" t="s">
        <v>524</v>
      </c>
    </row>
    <row r="2" spans="1:8" x14ac:dyDescent="0.35">
      <c r="A2" s="2" t="s">
        <v>115</v>
      </c>
      <c r="B2" s="34">
        <f>COUNTIF(CEMENTERIOS!C:C,A2)</f>
        <v>1</v>
      </c>
      <c r="C2" s="8">
        <f>COUNTIFS(CEMENTERIOS!C:C,A2,CEMENTERIOS!G:G,"Alta")+COUNTIFS(CEMENTERIOS!C:C,A2,CEMENTERIOS!G:G,"Crítica")</f>
        <v>1</v>
      </c>
      <c r="D2" s="8">
        <f>COUNTIFS(CEMENTERIOS!C:C,A2,CEMENTERIOS!H:H,"&lt;&gt;")+0</f>
        <v>1</v>
      </c>
      <c r="E2" s="34">
        <f>COUNTIF(ALOJAMIENTO_TEMPORAL!C:C,A2)</f>
        <v>0</v>
      </c>
      <c r="F2" s="8">
        <f>COUNTIFS(ALOJAMIENTO_TEMPORAL!C:C,A2,ALOJAMIENTO_TEMPORAL!N:N,"Alta")+COUNTIFS(ALOJAMIENTO_TEMPORAL!C:C,A2,ALOJAMIENTO_TEMPORAL!N:N,"Crítica")</f>
        <v>0</v>
      </c>
      <c r="G2" s="8">
        <f>COUNTIFS(ALOJAMIENTO_TEMPORAL!C:C,A2,ALOJAMIENTO_TEMPORAL!N:N,"No concluyente")</f>
        <v>0</v>
      </c>
      <c r="H2" s="8">
        <f>SUMIF(ALOJAMIENTO_TEMPORAL!C:C,A2,ALOJAMIENTO_TEMPORAL!G:G)</f>
        <v>0</v>
      </c>
    </row>
    <row r="3" spans="1:8" x14ac:dyDescent="0.35">
      <c r="A3" s="2" t="s">
        <v>118</v>
      </c>
      <c r="B3" s="34">
        <f>COUNTIF(CEMENTERIOS!C:C,A3)</f>
        <v>1</v>
      </c>
      <c r="C3" s="8">
        <f>COUNTIFS(CEMENTERIOS!C:C,A3,CEMENTERIOS!G:G,"Alta")+COUNTIFS(CEMENTERIOS!C:C,A3,CEMENTERIOS!G:G,"Crítica")</f>
        <v>0</v>
      </c>
      <c r="D3" s="8">
        <f>COUNTIFS(CEMENTERIOS!C:C,A3,CEMENTERIOS!H:H,"&lt;&gt;")+0</f>
        <v>1</v>
      </c>
      <c r="E3" s="34">
        <f>COUNTIF(ALOJAMIENTO_TEMPORAL!C:C,A3)</f>
        <v>2</v>
      </c>
      <c r="F3" s="8">
        <f>COUNTIFS(ALOJAMIENTO_TEMPORAL!C:C,A3,ALOJAMIENTO_TEMPORAL!N:N,"Alta")+COUNTIFS(ALOJAMIENTO_TEMPORAL!C:C,A3,ALOJAMIENTO_TEMPORAL!N:N,"Crítica")</f>
        <v>0</v>
      </c>
      <c r="G3" s="8">
        <f>COUNTIFS(ALOJAMIENTO_TEMPORAL!C:C,A3,ALOJAMIENTO_TEMPORAL!N:N,"No concluyente")</f>
        <v>1</v>
      </c>
      <c r="H3" s="8">
        <f>SUMIF(ALOJAMIENTO_TEMPORAL!C:C,A3,ALOJAMIENTO_TEMPORAL!G:G)</f>
        <v>25</v>
      </c>
    </row>
    <row r="4" spans="1:8" x14ac:dyDescent="0.35">
      <c r="A4" s="2" t="s">
        <v>89</v>
      </c>
      <c r="B4" s="34">
        <f>COUNTIF(CEMENTERIOS!C:C,A4)</f>
        <v>1</v>
      </c>
      <c r="C4" s="8">
        <f>COUNTIFS(CEMENTERIOS!C:C,A4,CEMENTERIOS!G:G,"Alta")+COUNTIFS(CEMENTERIOS!C:C,A4,CEMENTERIOS!G:G,"Crítica")</f>
        <v>0</v>
      </c>
      <c r="D4" s="8">
        <f>COUNTIFS(CEMENTERIOS!C:C,A4,CEMENTERIOS!H:H,"&lt;&gt;")+0</f>
        <v>0</v>
      </c>
      <c r="E4" s="34">
        <f>COUNTIF(ALOJAMIENTO_TEMPORAL!C:C,A4)</f>
        <v>0</v>
      </c>
      <c r="F4" s="8">
        <f>COUNTIFS(ALOJAMIENTO_TEMPORAL!C:C,A4,ALOJAMIENTO_TEMPORAL!N:N,"Alta")+COUNTIFS(ALOJAMIENTO_TEMPORAL!C:C,A4,ALOJAMIENTO_TEMPORAL!N:N,"Crítica")</f>
        <v>0</v>
      </c>
      <c r="G4" s="8">
        <f>COUNTIFS(ALOJAMIENTO_TEMPORAL!C:C,A4,ALOJAMIENTO_TEMPORAL!N:N,"No concluyente")</f>
        <v>0</v>
      </c>
      <c r="H4" s="8">
        <f>SUMIF(ALOJAMIENTO_TEMPORAL!C:C,A4,ALOJAMIENTO_TEMPORAL!G:G)</f>
        <v>0</v>
      </c>
    </row>
    <row r="5" spans="1:8" x14ac:dyDescent="0.35">
      <c r="A5" s="2" t="s">
        <v>87</v>
      </c>
      <c r="B5" s="34">
        <f>COUNTIF(CEMENTERIOS!C:C,A5)</f>
        <v>1</v>
      </c>
      <c r="C5" s="8">
        <f>COUNTIFS(CEMENTERIOS!C:C,A5,CEMENTERIOS!G:G,"Alta")+COUNTIFS(CEMENTERIOS!C:C,A5,CEMENTERIOS!G:G,"Crítica")</f>
        <v>1</v>
      </c>
      <c r="D5" s="8">
        <f>COUNTIFS(CEMENTERIOS!C:C,A5,CEMENTERIOS!H:H,"&lt;&gt;")+0</f>
        <v>1</v>
      </c>
      <c r="E5" s="34">
        <f>COUNTIF(ALOJAMIENTO_TEMPORAL!C:C,A5)</f>
        <v>1</v>
      </c>
      <c r="F5" s="8">
        <f>COUNTIFS(ALOJAMIENTO_TEMPORAL!C:C,A5,ALOJAMIENTO_TEMPORAL!N:N,"Alta")+COUNTIFS(ALOJAMIENTO_TEMPORAL!C:C,A5,ALOJAMIENTO_TEMPORAL!N:N,"Crítica")</f>
        <v>0</v>
      </c>
      <c r="G5" s="8">
        <f>COUNTIFS(ALOJAMIENTO_TEMPORAL!C:C,A5,ALOJAMIENTO_TEMPORAL!N:N,"No concluyente")</f>
        <v>0</v>
      </c>
      <c r="H5" s="8">
        <f>SUMIF(ALOJAMIENTO_TEMPORAL!C:C,A5,ALOJAMIENTO_TEMPORAL!G:G)</f>
        <v>9</v>
      </c>
    </row>
    <row r="6" spans="1:8" x14ac:dyDescent="0.35">
      <c r="A6" s="2" t="s">
        <v>91</v>
      </c>
      <c r="B6" s="34">
        <f>COUNTIF(CEMENTERIOS!C:C,A6)</f>
        <v>1</v>
      </c>
      <c r="C6" s="8">
        <f>COUNTIFS(CEMENTERIOS!C:C,A6,CEMENTERIOS!G:G,"Alta")+COUNTIFS(CEMENTERIOS!C:C,A6,CEMENTERIOS!G:G,"Crítica")</f>
        <v>1</v>
      </c>
      <c r="D6" s="8">
        <f>COUNTIFS(CEMENTERIOS!C:C,A6,CEMENTERIOS!H:H,"&lt;&gt;")+0</f>
        <v>0</v>
      </c>
      <c r="E6" s="34">
        <f>COUNTIF(ALOJAMIENTO_TEMPORAL!C:C,A6)</f>
        <v>1</v>
      </c>
      <c r="F6" s="8">
        <f>COUNTIFS(ALOJAMIENTO_TEMPORAL!C:C,A6,ALOJAMIENTO_TEMPORAL!N:N,"Alta")+COUNTIFS(ALOJAMIENTO_TEMPORAL!C:C,A6,ALOJAMIENTO_TEMPORAL!N:N,"Crítica")</f>
        <v>1</v>
      </c>
      <c r="G6" s="8">
        <f>COUNTIFS(ALOJAMIENTO_TEMPORAL!C:C,A6,ALOJAMIENTO_TEMPORAL!N:N,"No concluyente")</f>
        <v>0</v>
      </c>
      <c r="H6" s="8">
        <f>SUMIF(ALOJAMIENTO_TEMPORAL!C:C,A6,ALOJAMIENTO_TEMPORAL!G:G)</f>
        <v>50</v>
      </c>
    </row>
    <row r="7" spans="1:8" x14ac:dyDescent="0.35">
      <c r="A7" s="2" t="s">
        <v>67</v>
      </c>
      <c r="B7" s="34">
        <f>COUNTIF(CEMENTERIOS!C:C,A7)</f>
        <v>8</v>
      </c>
      <c r="C7" s="8">
        <f>COUNTIFS(CEMENTERIOS!C:C,A7,CEMENTERIOS!G:G,"Alta")+COUNTIFS(CEMENTERIOS!C:C,A7,CEMENTERIOS!G:G,"Crítica")</f>
        <v>2</v>
      </c>
      <c r="D7" s="8">
        <f>COUNTIFS(CEMENTERIOS!C:C,A7,CEMENTERIOS!H:H,"&lt;&gt;")+0</f>
        <v>4</v>
      </c>
      <c r="E7" s="34">
        <f>COUNTIF(ALOJAMIENTO_TEMPORAL!C:C,A7)</f>
        <v>0</v>
      </c>
      <c r="F7" s="8">
        <f>COUNTIFS(ALOJAMIENTO_TEMPORAL!C:C,A7,ALOJAMIENTO_TEMPORAL!N:N,"Alta")+COUNTIFS(ALOJAMIENTO_TEMPORAL!C:C,A7,ALOJAMIENTO_TEMPORAL!N:N,"Crítica")</f>
        <v>0</v>
      </c>
      <c r="G7" s="8">
        <f>COUNTIFS(ALOJAMIENTO_TEMPORAL!C:C,A7,ALOJAMIENTO_TEMPORAL!N:N,"No concluyente")</f>
        <v>0</v>
      </c>
      <c r="H7" s="8">
        <f>SUMIF(ALOJAMIENTO_TEMPORAL!C:C,A7,ALOJAMIENTO_TEMPORAL!G:G)</f>
        <v>0</v>
      </c>
    </row>
    <row r="8" spans="1:8" x14ac:dyDescent="0.35">
      <c r="A8" s="2" t="s">
        <v>41</v>
      </c>
      <c r="B8" s="34">
        <f>COUNTIF(CEMENTERIOS!C:C,A8)</f>
        <v>4</v>
      </c>
      <c r="C8" s="8">
        <f>COUNTIFS(CEMENTERIOS!C:C,A8,CEMENTERIOS!G:G,"Alta")+COUNTIFS(CEMENTERIOS!C:C,A8,CEMENTERIOS!G:G,"Crítica")</f>
        <v>0</v>
      </c>
      <c r="D8" s="8">
        <f>COUNTIFS(CEMENTERIOS!C:C,A8,CEMENTERIOS!H:H,"&lt;&gt;")+0</f>
        <v>4</v>
      </c>
      <c r="E8" s="34">
        <f>COUNTIF(ALOJAMIENTO_TEMPORAL!C:C,A8)</f>
        <v>0</v>
      </c>
      <c r="F8" s="8">
        <f>COUNTIFS(ALOJAMIENTO_TEMPORAL!C:C,A8,ALOJAMIENTO_TEMPORAL!N:N,"Alta")+COUNTIFS(ALOJAMIENTO_TEMPORAL!C:C,A8,ALOJAMIENTO_TEMPORAL!N:N,"Crítica")</f>
        <v>0</v>
      </c>
      <c r="G8" s="8">
        <f>COUNTIFS(ALOJAMIENTO_TEMPORAL!C:C,A8,ALOJAMIENTO_TEMPORAL!N:N,"No concluyente")</f>
        <v>0</v>
      </c>
      <c r="H8" s="8">
        <f>SUMIF(ALOJAMIENTO_TEMPORAL!C:C,A8,ALOJAMIENTO_TEMPORAL!G:G)</f>
        <v>0</v>
      </c>
    </row>
    <row r="9" spans="1:8" x14ac:dyDescent="0.35">
      <c r="A9" s="2" t="s">
        <v>111</v>
      </c>
      <c r="B9" s="34">
        <f>COUNTIF(CEMENTERIOS!C:C,A9)</f>
        <v>1</v>
      </c>
      <c r="C9" s="8">
        <f>COUNTIFS(CEMENTERIOS!C:C,A9,CEMENTERIOS!G:G,"Alta")+COUNTIFS(CEMENTERIOS!C:C,A9,CEMENTERIOS!G:G,"Crítica")</f>
        <v>1</v>
      </c>
      <c r="D9" s="8">
        <f>COUNTIFS(CEMENTERIOS!C:C,A9,CEMENTERIOS!H:H,"&lt;&gt;")+0</f>
        <v>1</v>
      </c>
      <c r="E9" s="34">
        <f>COUNTIF(ALOJAMIENTO_TEMPORAL!C:C,A9)</f>
        <v>0</v>
      </c>
      <c r="F9" s="8">
        <f>COUNTIFS(ALOJAMIENTO_TEMPORAL!C:C,A9,ALOJAMIENTO_TEMPORAL!N:N,"Alta")+COUNTIFS(ALOJAMIENTO_TEMPORAL!C:C,A9,ALOJAMIENTO_TEMPORAL!N:N,"Crítica")</f>
        <v>0</v>
      </c>
      <c r="G9" s="8">
        <f>COUNTIFS(ALOJAMIENTO_TEMPORAL!C:C,A9,ALOJAMIENTO_TEMPORAL!N:N,"No concluyente")</f>
        <v>0</v>
      </c>
      <c r="H9" s="8">
        <f>SUMIF(ALOJAMIENTO_TEMPORAL!C:C,A9,ALOJAMIENTO_TEMPORAL!G:G)</f>
        <v>0</v>
      </c>
    </row>
    <row r="10" spans="1:8" x14ac:dyDescent="0.35">
      <c r="A10" s="2" t="s">
        <v>122</v>
      </c>
      <c r="B10" s="34">
        <f>COUNTIF(CEMENTERIOS!C:C,A10)</f>
        <v>1</v>
      </c>
      <c r="C10" s="8">
        <f>COUNTIFS(CEMENTERIOS!C:C,A10,CEMENTERIOS!G:G,"Alta")+COUNTIFS(CEMENTERIOS!C:C,A10,CEMENTERIOS!G:G,"Crítica")</f>
        <v>0</v>
      </c>
      <c r="D10" s="8">
        <f>COUNTIFS(CEMENTERIOS!C:C,A10,CEMENTERIOS!H:H,"&lt;&gt;")+0</f>
        <v>1</v>
      </c>
      <c r="E10" s="34">
        <f>COUNTIF(ALOJAMIENTO_TEMPORAL!C:C,A10)</f>
        <v>1</v>
      </c>
      <c r="F10" s="8">
        <f>COUNTIFS(ALOJAMIENTO_TEMPORAL!C:C,A10,ALOJAMIENTO_TEMPORAL!N:N,"Alta")+COUNTIFS(ALOJAMIENTO_TEMPORAL!C:C,A10,ALOJAMIENTO_TEMPORAL!N:N,"Crítica")</f>
        <v>0</v>
      </c>
      <c r="G10" s="8">
        <f>COUNTIFS(ALOJAMIENTO_TEMPORAL!C:C,A10,ALOJAMIENTO_TEMPORAL!N:N,"No concluyente")</f>
        <v>0</v>
      </c>
      <c r="H10" s="8">
        <f>SUMIF(ALOJAMIENTO_TEMPORAL!C:C,A10,ALOJAMIENTO_TEMPORAL!G:G)</f>
        <v>9</v>
      </c>
    </row>
    <row r="11" spans="1:8" x14ac:dyDescent="0.35">
      <c r="A11" s="2" t="s">
        <v>25</v>
      </c>
      <c r="B11" s="34">
        <f>COUNTIF(CEMENTERIOS!C:C,A11)</f>
        <v>3</v>
      </c>
      <c r="C11" s="8">
        <f>COUNTIFS(CEMENTERIOS!C:C,A11,CEMENTERIOS!G:G,"Alta")+COUNTIFS(CEMENTERIOS!C:C,A11,CEMENTERIOS!G:G,"Crítica")</f>
        <v>0</v>
      </c>
      <c r="D11" s="8">
        <f>COUNTIFS(CEMENTERIOS!C:C,A11,CEMENTERIOS!H:H,"&lt;&gt;")+0</f>
        <v>3</v>
      </c>
      <c r="E11" s="34">
        <f>COUNTIF(ALOJAMIENTO_TEMPORAL!C:C,A11)</f>
        <v>0</v>
      </c>
      <c r="F11" s="8">
        <f>COUNTIFS(ALOJAMIENTO_TEMPORAL!C:C,A11,ALOJAMIENTO_TEMPORAL!N:N,"Alta")+COUNTIFS(ALOJAMIENTO_TEMPORAL!C:C,A11,ALOJAMIENTO_TEMPORAL!N:N,"Crítica")</f>
        <v>0</v>
      </c>
      <c r="G11" s="8">
        <f>COUNTIFS(ALOJAMIENTO_TEMPORAL!C:C,A11,ALOJAMIENTO_TEMPORAL!N:N,"No concluyente")</f>
        <v>0</v>
      </c>
      <c r="H11" s="8">
        <f>SUMIF(ALOJAMIENTO_TEMPORAL!C:C,A11,ALOJAMIENTO_TEMPORAL!G:G)</f>
        <v>0</v>
      </c>
    </row>
    <row r="12" spans="1:8" x14ac:dyDescent="0.35">
      <c r="A12" s="2" t="s">
        <v>60</v>
      </c>
      <c r="B12" s="34">
        <f>COUNTIF(CEMENTERIOS!C:C,A12)</f>
        <v>3</v>
      </c>
      <c r="C12" s="8">
        <f>COUNTIFS(CEMENTERIOS!C:C,A12,CEMENTERIOS!G:G,"Alta")+COUNTIFS(CEMENTERIOS!C:C,A12,CEMENTERIOS!G:G,"Crítica")</f>
        <v>1</v>
      </c>
      <c r="D12" s="8">
        <f>COUNTIFS(CEMENTERIOS!C:C,A12,CEMENTERIOS!H:H,"&lt;&gt;")+0</f>
        <v>3</v>
      </c>
      <c r="E12" s="34">
        <f>COUNTIF(ALOJAMIENTO_TEMPORAL!C:C,A12)</f>
        <v>0</v>
      </c>
      <c r="F12" s="8">
        <f>COUNTIFS(ALOJAMIENTO_TEMPORAL!C:C,A12,ALOJAMIENTO_TEMPORAL!N:N,"Alta")+COUNTIFS(ALOJAMIENTO_TEMPORAL!C:C,A12,ALOJAMIENTO_TEMPORAL!N:N,"Crítica")</f>
        <v>0</v>
      </c>
      <c r="G12" s="8">
        <f>COUNTIFS(ALOJAMIENTO_TEMPORAL!C:C,A12,ALOJAMIENTO_TEMPORAL!N:N,"No concluyente")</f>
        <v>0</v>
      </c>
      <c r="H12" s="8">
        <f>SUMIF(ALOJAMIENTO_TEMPORAL!C:C,A12,ALOJAMIENTO_TEMPORAL!G:G)</f>
        <v>0</v>
      </c>
    </row>
    <row r="13" spans="1:8" x14ac:dyDescent="0.35">
      <c r="A13" s="2" t="s">
        <v>36</v>
      </c>
      <c r="B13" s="34">
        <f>COUNTIF(CEMENTERIOS!C:C,A13)</f>
        <v>1</v>
      </c>
      <c r="C13" s="8">
        <f>COUNTIFS(CEMENTERIOS!C:C,A13,CEMENTERIOS!G:G,"Alta")+COUNTIFS(CEMENTERIOS!C:C,A13,CEMENTERIOS!G:G,"Crítica")</f>
        <v>1</v>
      </c>
      <c r="D13" s="8">
        <f>COUNTIFS(CEMENTERIOS!C:C,A13,CEMENTERIOS!H:H,"&lt;&gt;")+0</f>
        <v>1</v>
      </c>
      <c r="E13" s="34">
        <f>COUNTIF(ALOJAMIENTO_TEMPORAL!C:C,A13)</f>
        <v>0</v>
      </c>
      <c r="F13" s="8">
        <f>COUNTIFS(ALOJAMIENTO_TEMPORAL!C:C,A13,ALOJAMIENTO_TEMPORAL!N:N,"Alta")+COUNTIFS(ALOJAMIENTO_TEMPORAL!C:C,A13,ALOJAMIENTO_TEMPORAL!N:N,"Crítica")</f>
        <v>0</v>
      </c>
      <c r="G13" s="8">
        <f>COUNTIFS(ALOJAMIENTO_TEMPORAL!C:C,A13,ALOJAMIENTO_TEMPORAL!N:N,"No concluyente")</f>
        <v>0</v>
      </c>
      <c r="H13" s="8">
        <f>SUMIF(ALOJAMIENTO_TEMPORAL!C:C,A13,ALOJAMIENTO_TEMPORAL!G:G)</f>
        <v>0</v>
      </c>
    </row>
    <row r="14" spans="1:8" x14ac:dyDescent="0.35">
      <c r="A14" s="2" t="s">
        <v>30</v>
      </c>
      <c r="B14" s="34">
        <f>COUNTIF(CEMENTERIOS!C:C,A14)</f>
        <v>5</v>
      </c>
      <c r="C14" s="8">
        <f>COUNTIFS(CEMENTERIOS!C:C,A14,CEMENTERIOS!G:G,"Alta")+COUNTIFS(CEMENTERIOS!C:C,A14,CEMENTERIOS!G:G,"Crítica")</f>
        <v>3</v>
      </c>
      <c r="D14" s="8">
        <f>COUNTIFS(CEMENTERIOS!C:C,A14,CEMENTERIOS!H:H,"&lt;&gt;")+0</f>
        <v>1</v>
      </c>
      <c r="E14" s="34">
        <f>COUNTIF(ALOJAMIENTO_TEMPORAL!C:C,A14)</f>
        <v>0</v>
      </c>
      <c r="F14" s="8">
        <f>COUNTIFS(ALOJAMIENTO_TEMPORAL!C:C,A14,ALOJAMIENTO_TEMPORAL!N:N,"Alta")+COUNTIFS(ALOJAMIENTO_TEMPORAL!C:C,A14,ALOJAMIENTO_TEMPORAL!N:N,"Crítica")</f>
        <v>0</v>
      </c>
      <c r="G14" s="8">
        <f>COUNTIFS(ALOJAMIENTO_TEMPORAL!C:C,A14,ALOJAMIENTO_TEMPORAL!N:N,"No concluyente")</f>
        <v>0</v>
      </c>
      <c r="H14" s="8">
        <f>SUMIF(ALOJAMIENTO_TEMPORAL!C:C,A14,ALOJAMIENTO_TEMPORAL!G:G)</f>
        <v>0</v>
      </c>
    </row>
    <row r="15" spans="1:8" x14ac:dyDescent="0.35">
      <c r="A15" s="2" t="s">
        <v>124</v>
      </c>
      <c r="B15" s="34">
        <f>COUNTIF(CEMENTERIOS!C:C,A15)</f>
        <v>1</v>
      </c>
      <c r="C15" s="8">
        <f>COUNTIFS(CEMENTERIOS!C:C,A15,CEMENTERIOS!G:G,"Alta")+COUNTIFS(CEMENTERIOS!C:C,A15,CEMENTERIOS!G:G,"Crítica")</f>
        <v>1</v>
      </c>
      <c r="D15" s="8">
        <f>COUNTIFS(CEMENTERIOS!C:C,A15,CEMENTERIOS!H:H,"&lt;&gt;")+0</f>
        <v>1</v>
      </c>
      <c r="E15" s="34">
        <f>COUNTIF(ALOJAMIENTO_TEMPORAL!C:C,A15)</f>
        <v>1</v>
      </c>
      <c r="F15" s="8">
        <f>COUNTIFS(ALOJAMIENTO_TEMPORAL!C:C,A15,ALOJAMIENTO_TEMPORAL!N:N,"Alta")+COUNTIFS(ALOJAMIENTO_TEMPORAL!C:C,A15,ALOJAMIENTO_TEMPORAL!N:N,"Crítica")</f>
        <v>0</v>
      </c>
      <c r="G15" s="8">
        <f>COUNTIFS(ALOJAMIENTO_TEMPORAL!C:C,A15,ALOJAMIENTO_TEMPORAL!N:N,"No concluyente")</f>
        <v>0</v>
      </c>
      <c r="H15" s="8">
        <f>SUMIF(ALOJAMIENTO_TEMPORAL!C:C,A15,ALOJAMIENTO_TEMPORAL!G:G)</f>
        <v>40</v>
      </c>
    </row>
    <row r="16" spans="1:8" x14ac:dyDescent="0.35">
      <c r="A16" s="2" t="s">
        <v>109</v>
      </c>
      <c r="B16" s="34">
        <f>COUNTIF(CEMENTERIOS!C:C,A16)</f>
        <v>1</v>
      </c>
      <c r="C16" s="8">
        <f>COUNTIFS(CEMENTERIOS!C:C,A16,CEMENTERIOS!G:G,"Alta")+COUNTIFS(CEMENTERIOS!C:C,A16,CEMENTERIOS!G:G,"Crítica")</f>
        <v>1</v>
      </c>
      <c r="D16" s="8">
        <f>COUNTIFS(CEMENTERIOS!C:C,A16,CEMENTERIOS!H:H,"&lt;&gt;")+0</f>
        <v>1</v>
      </c>
      <c r="E16" s="34">
        <f>COUNTIF(ALOJAMIENTO_TEMPORAL!C:C,A16)</f>
        <v>1</v>
      </c>
      <c r="F16" s="8">
        <f>COUNTIFS(ALOJAMIENTO_TEMPORAL!C:C,A16,ALOJAMIENTO_TEMPORAL!N:N,"Alta")+COUNTIFS(ALOJAMIENTO_TEMPORAL!C:C,A16,ALOJAMIENTO_TEMPORAL!N:N,"Crítica")</f>
        <v>0</v>
      </c>
      <c r="G16" s="8">
        <f>COUNTIFS(ALOJAMIENTO_TEMPORAL!C:C,A16,ALOJAMIENTO_TEMPORAL!N:N,"No concluyente")</f>
        <v>0</v>
      </c>
      <c r="H16" s="8">
        <f>SUMIF(ALOJAMIENTO_TEMPORAL!C:C,A16,ALOJAMIENTO_TEMPORAL!G:G)</f>
        <v>16</v>
      </c>
    </row>
    <row r="17" spans="1:8" x14ac:dyDescent="0.35">
      <c r="A17" s="2" t="s">
        <v>103</v>
      </c>
      <c r="B17" s="34">
        <f>COUNTIF(CEMENTERIOS!C:C,A17)</f>
        <v>1</v>
      </c>
      <c r="C17" s="8">
        <f>COUNTIFS(CEMENTERIOS!C:C,A17,CEMENTERIOS!G:G,"Alta")+COUNTIFS(CEMENTERIOS!C:C,A17,CEMENTERIOS!G:G,"Crítica")</f>
        <v>1</v>
      </c>
      <c r="D17" s="8">
        <f>COUNTIFS(CEMENTERIOS!C:C,A17,CEMENTERIOS!H:H,"&lt;&gt;")+0</f>
        <v>1</v>
      </c>
      <c r="E17" s="34">
        <f>COUNTIF(ALOJAMIENTO_TEMPORAL!C:C,A17)</f>
        <v>2</v>
      </c>
      <c r="F17" s="8">
        <f>COUNTIFS(ALOJAMIENTO_TEMPORAL!C:C,A17,ALOJAMIENTO_TEMPORAL!N:N,"Alta")+COUNTIFS(ALOJAMIENTO_TEMPORAL!C:C,A17,ALOJAMIENTO_TEMPORAL!N:N,"Crítica")</f>
        <v>0</v>
      </c>
      <c r="G17" s="8">
        <f>COUNTIFS(ALOJAMIENTO_TEMPORAL!C:C,A17,ALOJAMIENTO_TEMPORAL!N:N,"No concluyente")</f>
        <v>2</v>
      </c>
      <c r="H17" s="8">
        <f>SUMIF(ALOJAMIENTO_TEMPORAL!C:C,A17,ALOJAMIENTO_TEMPORAL!G:G)</f>
        <v>5</v>
      </c>
    </row>
    <row r="18" spans="1:8" x14ac:dyDescent="0.35">
      <c r="A18" s="2" t="s">
        <v>56</v>
      </c>
      <c r="B18" s="34">
        <f>COUNTIF(CEMENTERIOS!C:C,A18)</f>
        <v>1</v>
      </c>
      <c r="C18" s="8">
        <f>COUNTIFS(CEMENTERIOS!C:C,A18,CEMENTERIOS!G:G,"Alta")+COUNTIFS(CEMENTERIOS!C:C,A18,CEMENTERIOS!G:G,"Crítica")</f>
        <v>0</v>
      </c>
      <c r="D18" s="8">
        <f>COUNTIFS(CEMENTERIOS!C:C,A18,CEMENTERIOS!H:H,"&lt;&gt;")+0</f>
        <v>1</v>
      </c>
      <c r="E18" s="34">
        <f>COUNTIF(ALOJAMIENTO_TEMPORAL!C:C,A18)</f>
        <v>0</v>
      </c>
      <c r="F18" s="8">
        <f>COUNTIFS(ALOJAMIENTO_TEMPORAL!C:C,A18,ALOJAMIENTO_TEMPORAL!N:N,"Alta")+COUNTIFS(ALOJAMIENTO_TEMPORAL!C:C,A18,ALOJAMIENTO_TEMPORAL!N:N,"Crítica")</f>
        <v>0</v>
      </c>
      <c r="G18" s="8">
        <f>COUNTIFS(ALOJAMIENTO_TEMPORAL!C:C,A18,ALOJAMIENTO_TEMPORAL!N:N,"No concluyente")</f>
        <v>0</v>
      </c>
      <c r="H18" s="8">
        <f>SUMIF(ALOJAMIENTO_TEMPORAL!C:C,A18,ALOJAMIENTO_TEMPORAL!G:G)</f>
        <v>0</v>
      </c>
    </row>
    <row r="19" spans="1:8" x14ac:dyDescent="0.35">
      <c r="A19" s="2" t="s">
        <v>126</v>
      </c>
      <c r="B19" s="34">
        <f>COUNTIF(CEMENTERIOS!C:C,A19)</f>
        <v>1</v>
      </c>
      <c r="C19" s="8">
        <f>COUNTIFS(CEMENTERIOS!C:C,A19,CEMENTERIOS!G:G,"Alta")+COUNTIFS(CEMENTERIOS!C:C,A19,CEMENTERIOS!G:G,"Crítica")</f>
        <v>1</v>
      </c>
      <c r="D19" s="8">
        <f>COUNTIFS(CEMENTERIOS!C:C,A19,CEMENTERIOS!H:H,"&lt;&gt;")+0</f>
        <v>1</v>
      </c>
      <c r="E19" s="34">
        <f>COUNTIF(ALOJAMIENTO_TEMPORAL!C:C,A19)</f>
        <v>1</v>
      </c>
      <c r="F19" s="8">
        <f>COUNTIFS(ALOJAMIENTO_TEMPORAL!C:C,A19,ALOJAMIENTO_TEMPORAL!N:N,"Alta")+COUNTIFS(ALOJAMIENTO_TEMPORAL!C:C,A19,ALOJAMIENTO_TEMPORAL!N:N,"Crítica")</f>
        <v>0</v>
      </c>
      <c r="G19" s="8">
        <f>COUNTIFS(ALOJAMIENTO_TEMPORAL!C:C,A19,ALOJAMIENTO_TEMPORAL!N:N,"No concluyente")</f>
        <v>0</v>
      </c>
      <c r="H19" s="8">
        <f>SUMIF(ALOJAMIENTO_TEMPORAL!C:C,A19,ALOJAMIENTO_TEMPORAL!G:G)</f>
        <v>0</v>
      </c>
    </row>
    <row r="20" spans="1:8" x14ac:dyDescent="0.35">
      <c r="A20" s="2" t="s">
        <v>100</v>
      </c>
      <c r="B20" s="34">
        <f>COUNTIF(CEMENTERIOS!C:C,A20)</f>
        <v>2</v>
      </c>
      <c r="C20" s="8">
        <f>COUNTIFS(CEMENTERIOS!C:C,A20,CEMENTERIOS!G:G,"Alta")+COUNTIFS(CEMENTERIOS!C:C,A20,CEMENTERIOS!G:G,"Crítica")</f>
        <v>0</v>
      </c>
      <c r="D20" s="8">
        <f>COUNTIFS(CEMENTERIOS!C:C,A20,CEMENTERIOS!H:H,"&lt;&gt;")+0</f>
        <v>2</v>
      </c>
      <c r="E20" s="34">
        <f>COUNTIF(ALOJAMIENTO_TEMPORAL!C:C,A20)</f>
        <v>1</v>
      </c>
      <c r="F20" s="8">
        <f>COUNTIFS(ALOJAMIENTO_TEMPORAL!C:C,A20,ALOJAMIENTO_TEMPORAL!N:N,"Alta")+COUNTIFS(ALOJAMIENTO_TEMPORAL!C:C,A20,ALOJAMIENTO_TEMPORAL!N:N,"Crítica")</f>
        <v>0</v>
      </c>
      <c r="G20" s="8">
        <f>COUNTIFS(ALOJAMIENTO_TEMPORAL!C:C,A20,ALOJAMIENTO_TEMPORAL!N:N,"No concluyente")</f>
        <v>0</v>
      </c>
      <c r="H20" s="8">
        <f>SUMIF(ALOJAMIENTO_TEMPORAL!C:C,A20,ALOJAMIENTO_TEMPORAL!G:G)</f>
        <v>16</v>
      </c>
    </row>
    <row r="21" spans="1:8" x14ac:dyDescent="0.35">
      <c r="A21" s="2" t="s">
        <v>113</v>
      </c>
      <c r="B21" s="34">
        <f>COUNTIF(CEMENTERIOS!C:C,A21)</f>
        <v>2</v>
      </c>
      <c r="C21" s="8">
        <f>COUNTIFS(CEMENTERIOS!C:C,A21,CEMENTERIOS!G:G,"Alta")+COUNTIFS(CEMENTERIOS!C:C,A21,CEMENTERIOS!G:G,"Crítica")</f>
        <v>2</v>
      </c>
      <c r="D21" s="8">
        <f>COUNTIFS(CEMENTERIOS!C:C,A21,CEMENTERIOS!H:H,"&lt;&gt;")+0</f>
        <v>2</v>
      </c>
      <c r="E21" s="34">
        <f>COUNTIF(ALOJAMIENTO_TEMPORAL!C:C,A21)</f>
        <v>2</v>
      </c>
      <c r="F21" s="8">
        <f>COUNTIFS(ALOJAMIENTO_TEMPORAL!C:C,A21,ALOJAMIENTO_TEMPORAL!N:N,"Alta")+COUNTIFS(ALOJAMIENTO_TEMPORAL!C:C,A21,ALOJAMIENTO_TEMPORAL!N:N,"Crítica")</f>
        <v>1</v>
      </c>
      <c r="G21" s="8">
        <f>COUNTIFS(ALOJAMIENTO_TEMPORAL!C:C,A21,ALOJAMIENTO_TEMPORAL!N:N,"No concluyente")</f>
        <v>0</v>
      </c>
      <c r="H21" s="8">
        <f>SUMIF(ALOJAMIENTO_TEMPORAL!C:C,A21,ALOJAMIENTO_TEMPORAL!G:G)</f>
        <v>32</v>
      </c>
    </row>
    <row r="22" spans="1:8" x14ac:dyDescent="0.35">
      <c r="A22" s="2" t="s">
        <v>95</v>
      </c>
      <c r="B22" s="34">
        <f>COUNTIF(CEMENTERIOS!C:C,A22)</f>
        <v>1</v>
      </c>
      <c r="C22" s="8">
        <f>COUNTIFS(CEMENTERIOS!C:C,A22,CEMENTERIOS!G:G,"Alta")+COUNTIFS(CEMENTERIOS!C:C,A22,CEMENTERIOS!G:G,"Crítica")</f>
        <v>1</v>
      </c>
      <c r="D22" s="8">
        <f>COUNTIFS(CEMENTERIOS!C:C,A22,CEMENTERIOS!H:H,"&lt;&gt;")+0</f>
        <v>0</v>
      </c>
      <c r="E22" s="34">
        <f>COUNTIF(ALOJAMIENTO_TEMPORAL!C:C,A22)</f>
        <v>1</v>
      </c>
      <c r="F22" s="8">
        <f>COUNTIFS(ALOJAMIENTO_TEMPORAL!C:C,A22,ALOJAMIENTO_TEMPORAL!N:N,"Alta")+COUNTIFS(ALOJAMIENTO_TEMPORAL!C:C,A22,ALOJAMIENTO_TEMPORAL!N:N,"Crítica")</f>
        <v>0</v>
      </c>
      <c r="G22" s="8">
        <f>COUNTIFS(ALOJAMIENTO_TEMPORAL!C:C,A22,ALOJAMIENTO_TEMPORAL!N:N,"No concluyente")</f>
        <v>0</v>
      </c>
      <c r="H22" s="8">
        <f>SUMIF(ALOJAMIENTO_TEMPORAL!C:C,A22,ALOJAMIENTO_TEMPORAL!G:G)</f>
        <v>10</v>
      </c>
    </row>
    <row r="23" spans="1:8" x14ac:dyDescent="0.35">
      <c r="A23" s="2" t="s">
        <v>120</v>
      </c>
      <c r="B23" s="34">
        <f>COUNTIF(CEMENTERIOS!C:C,A23)</f>
        <v>1</v>
      </c>
      <c r="C23" s="8">
        <f>COUNTIFS(CEMENTERIOS!C:C,A23,CEMENTERIOS!G:G,"Alta")+COUNTIFS(CEMENTERIOS!C:C,A23,CEMENTERIOS!G:G,"Crítica")</f>
        <v>0</v>
      </c>
      <c r="D23" s="8">
        <f>COUNTIFS(CEMENTERIOS!C:C,A23,CEMENTERIOS!H:H,"&lt;&gt;")+0</f>
        <v>1</v>
      </c>
      <c r="E23" s="34">
        <f>COUNTIF(ALOJAMIENTO_TEMPORAL!C:C,A23)</f>
        <v>0</v>
      </c>
      <c r="F23" s="8">
        <f>COUNTIFS(ALOJAMIENTO_TEMPORAL!C:C,A23,ALOJAMIENTO_TEMPORAL!N:N,"Alta")+COUNTIFS(ALOJAMIENTO_TEMPORAL!C:C,A23,ALOJAMIENTO_TEMPORAL!N:N,"Crítica")</f>
        <v>0</v>
      </c>
      <c r="G23" s="8">
        <f>COUNTIFS(ALOJAMIENTO_TEMPORAL!C:C,A23,ALOJAMIENTO_TEMPORAL!N:N,"No concluyente")</f>
        <v>0</v>
      </c>
      <c r="H23" s="8">
        <f>SUMIF(ALOJAMIENTO_TEMPORAL!C:C,A23,ALOJAMIENTO_TEMPORAL!G:G)</f>
        <v>0</v>
      </c>
    </row>
    <row r="24" spans="1:8" x14ac:dyDescent="0.35">
      <c r="A24" s="2" t="s">
        <v>107</v>
      </c>
      <c r="B24" s="34">
        <f>COUNTIF(CEMENTERIOS!C:C,A24)</f>
        <v>1</v>
      </c>
      <c r="C24" s="8">
        <f>COUNTIFS(CEMENTERIOS!C:C,A24,CEMENTERIOS!G:G,"Alta")+COUNTIFS(CEMENTERIOS!C:C,A24,CEMENTERIOS!G:G,"Crítica")</f>
        <v>1</v>
      </c>
      <c r="D24" s="8">
        <f>COUNTIFS(CEMENTERIOS!C:C,A24,CEMENTERIOS!H:H,"&lt;&gt;")+0</f>
        <v>1</v>
      </c>
      <c r="E24" s="34">
        <f>COUNTIF(ALOJAMIENTO_TEMPORAL!C:C,A24)</f>
        <v>0</v>
      </c>
      <c r="F24" s="8">
        <f>COUNTIFS(ALOJAMIENTO_TEMPORAL!C:C,A24,ALOJAMIENTO_TEMPORAL!N:N,"Alta")+COUNTIFS(ALOJAMIENTO_TEMPORAL!C:C,A24,ALOJAMIENTO_TEMPORAL!N:N,"Crítica")</f>
        <v>0</v>
      </c>
      <c r="G24" s="8">
        <f>COUNTIFS(ALOJAMIENTO_TEMPORAL!C:C,A24,ALOJAMIENTO_TEMPORAL!N:N,"No concluyente")</f>
        <v>0</v>
      </c>
      <c r="H24" s="8">
        <f>SUMIF(ALOJAMIENTO_TEMPORAL!C:C,A24,ALOJAMIENTO_TEMPORAL!G:G)</f>
        <v>0</v>
      </c>
    </row>
    <row r="25" spans="1:8" x14ac:dyDescent="0.35">
      <c r="A25" s="2" t="s">
        <v>105</v>
      </c>
      <c r="B25" s="34">
        <f>COUNTIF(CEMENTERIOS!C:C,A25)</f>
        <v>1</v>
      </c>
      <c r="C25" s="8">
        <f>COUNTIFS(CEMENTERIOS!C:C,A25,CEMENTERIOS!G:G,"Alta")+COUNTIFS(CEMENTERIOS!C:C,A25,CEMENTERIOS!G:G,"Crítica")</f>
        <v>1</v>
      </c>
      <c r="D25" s="8">
        <f>COUNTIFS(CEMENTERIOS!C:C,A25,CEMENTERIOS!H:H,"&lt;&gt;")+0</f>
        <v>1</v>
      </c>
      <c r="E25" s="34">
        <f>COUNTIF(ALOJAMIENTO_TEMPORAL!C:C,A25)</f>
        <v>1</v>
      </c>
      <c r="F25" s="8">
        <f>COUNTIFS(ALOJAMIENTO_TEMPORAL!C:C,A25,ALOJAMIENTO_TEMPORAL!N:N,"Alta")+COUNTIFS(ALOJAMIENTO_TEMPORAL!C:C,A25,ALOJAMIENTO_TEMPORAL!N:N,"Crítica")</f>
        <v>0</v>
      </c>
      <c r="G25" s="8">
        <f>COUNTIFS(ALOJAMIENTO_TEMPORAL!C:C,A25,ALOJAMIENTO_TEMPORAL!N:N,"No concluyente")</f>
        <v>0</v>
      </c>
      <c r="H25" s="8">
        <f>SUMIF(ALOJAMIENTO_TEMPORAL!C:C,A25,ALOJAMIENTO_TEMPORAL!G:G)</f>
        <v>11</v>
      </c>
    </row>
    <row r="26" spans="1:8" x14ac:dyDescent="0.35">
      <c r="A26" s="2" t="s">
        <v>33</v>
      </c>
      <c r="B26" s="34">
        <f>COUNTIF(CEMENTERIOS!C:C,A26)</f>
        <v>1</v>
      </c>
      <c r="C26" s="8">
        <f>COUNTIFS(CEMENTERIOS!C:C,A26,CEMENTERIOS!G:G,"Alta")+COUNTIFS(CEMENTERIOS!C:C,A26,CEMENTERIOS!G:G,"Crítica")</f>
        <v>1</v>
      </c>
      <c r="D26" s="8">
        <f>COUNTIFS(CEMENTERIOS!C:C,A26,CEMENTERIOS!H:H,"&lt;&gt;")+0</f>
        <v>1</v>
      </c>
      <c r="E26" s="34">
        <f>COUNTIF(ALOJAMIENTO_TEMPORAL!C:C,A26)</f>
        <v>0</v>
      </c>
      <c r="F26" s="8">
        <f>COUNTIFS(ALOJAMIENTO_TEMPORAL!C:C,A26,ALOJAMIENTO_TEMPORAL!N:N,"Alta")+COUNTIFS(ALOJAMIENTO_TEMPORAL!C:C,A26,ALOJAMIENTO_TEMPORAL!N:N,"Crítica")</f>
        <v>0</v>
      </c>
      <c r="G26" s="8">
        <f>COUNTIFS(ALOJAMIENTO_TEMPORAL!C:C,A26,ALOJAMIENTO_TEMPORAL!N:N,"No concluyente")</f>
        <v>0</v>
      </c>
      <c r="H26" s="8">
        <f>SUMIF(ALOJAMIENTO_TEMPORAL!C:C,A26,ALOJAMIENTO_TEMPORAL!G:G)</f>
        <v>0</v>
      </c>
    </row>
    <row r="27" spans="1:8" x14ac:dyDescent="0.35">
      <c r="A27" s="2" t="s">
        <v>97</v>
      </c>
      <c r="B27" s="34">
        <f>COUNTIF(CEMENTERIOS!C:C,A27)</f>
        <v>4</v>
      </c>
      <c r="C27" s="8">
        <f>COUNTIFS(CEMENTERIOS!C:C,A27,CEMENTERIOS!G:G,"Alta")+COUNTIFS(CEMENTERIOS!C:C,A27,CEMENTERIOS!G:G,"Crítica")</f>
        <v>2</v>
      </c>
      <c r="D27" s="8">
        <f>COUNTIFS(CEMENTERIOS!C:C,A27,CEMENTERIOS!H:H,"&lt;&gt;")+0</f>
        <v>4</v>
      </c>
      <c r="E27" s="34">
        <f>COUNTIF(ALOJAMIENTO_TEMPORAL!C:C,A27)</f>
        <v>1</v>
      </c>
      <c r="F27" s="8">
        <f>COUNTIFS(ALOJAMIENTO_TEMPORAL!C:C,A27,ALOJAMIENTO_TEMPORAL!N:N,"Alta")+COUNTIFS(ALOJAMIENTO_TEMPORAL!C:C,A27,ALOJAMIENTO_TEMPORAL!N:N,"Crítica")</f>
        <v>0</v>
      </c>
      <c r="G27" s="8">
        <f>COUNTIFS(ALOJAMIENTO_TEMPORAL!C:C,A27,ALOJAMIENTO_TEMPORAL!N:N,"No concluyente")</f>
        <v>0</v>
      </c>
      <c r="H27" s="8">
        <f>SUMIF(ALOJAMIENTO_TEMPORAL!C:C,A27,ALOJAMIENTO_TEMPORAL!G:G)</f>
        <v>50</v>
      </c>
    </row>
    <row r="28" spans="1:8" x14ac:dyDescent="0.35">
      <c r="A28" s="2" t="s">
        <v>93</v>
      </c>
      <c r="B28" s="34">
        <f>COUNTIF(CEMENTERIOS!C:C,A28)</f>
        <v>1</v>
      </c>
      <c r="C28" s="8">
        <f>COUNTIFS(CEMENTERIOS!C:C,A28,CEMENTERIOS!G:G,"Alta")+COUNTIFS(CEMENTERIOS!C:C,A28,CEMENTERIOS!G:G,"Crítica")</f>
        <v>1</v>
      </c>
      <c r="D28" s="8">
        <f>COUNTIFS(CEMENTERIOS!C:C,A28,CEMENTERIOS!H:H,"&lt;&gt;")+0</f>
        <v>0</v>
      </c>
      <c r="E28" s="34">
        <f>COUNTIF(ALOJAMIENTO_TEMPORAL!C:C,A28)</f>
        <v>2</v>
      </c>
      <c r="F28" s="8">
        <f>COUNTIFS(ALOJAMIENTO_TEMPORAL!C:C,A28,ALOJAMIENTO_TEMPORAL!N:N,"Alta")+COUNTIFS(ALOJAMIENTO_TEMPORAL!C:C,A28,ALOJAMIENTO_TEMPORAL!N:N,"Crítica")</f>
        <v>0</v>
      </c>
      <c r="G28" s="8">
        <f>COUNTIFS(ALOJAMIENTO_TEMPORAL!C:C,A28,ALOJAMIENTO_TEMPORAL!N:N,"No concluyente")</f>
        <v>0</v>
      </c>
      <c r="H28" s="8">
        <f>SUMIF(ALOJAMIENTO_TEMPORAL!C:C,A28,ALOJAMIENTO_TEMPORAL!G:G)</f>
        <v>17</v>
      </c>
    </row>
    <row r="29" spans="1:8" x14ac:dyDescent="0.35">
      <c r="A29" s="40"/>
      <c r="B29" s="41">
        <f>SUBTOTAL(109,ResumenMunicipalTable[Cementerios])</f>
        <v>50</v>
      </c>
      <c r="C29" s="41">
        <f>SUBTOTAL(109,ResumenMunicipalTable[Cementerio Alta/Crítica])</f>
        <v>24</v>
      </c>
      <c r="D29" s="41">
        <f>SUBTOTAL(109,ResumenMunicipalTable[Cementerio con restricción])</f>
        <v>38</v>
      </c>
      <c r="E29" s="41">
        <f>SUBTOTAL(109,ResumenMunicipalTable[Alojamiento Temporal])</f>
        <v>18</v>
      </c>
      <c r="F29" s="41">
        <f>SUBTOTAL(109,ResumenMunicipalTable[ATI Alta/Crítica])</f>
        <v>2</v>
      </c>
      <c r="G29" s="41">
        <f t="shared" ref="G29:H29" si="0">SUBTOTAL(109,G2:G28)</f>
        <v>3</v>
      </c>
      <c r="H29" s="41">
        <f t="shared" si="0"/>
        <v>290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workbookViewId="0"/>
  </sheetViews>
  <sheetFormatPr baseColWidth="10" defaultColWidth="8.7265625" defaultRowHeight="14.5" x14ac:dyDescent="0.35"/>
  <cols>
    <col min="1" max="2" width="28" customWidth="1"/>
    <col min="3" max="3" width="75" customWidth="1"/>
  </cols>
  <sheetData>
    <row r="1" spans="1:3" ht="18.649999999999999" customHeight="1" x14ac:dyDescent="0.35">
      <c r="A1" s="3" t="s">
        <v>218</v>
      </c>
      <c r="B1" s="3" t="s">
        <v>219</v>
      </c>
      <c r="C1" s="3" t="s">
        <v>220</v>
      </c>
    </row>
    <row r="2" spans="1:3" ht="29" x14ac:dyDescent="0.35">
      <c r="A2" s="2" t="s">
        <v>221</v>
      </c>
      <c r="B2" s="2" t="s">
        <v>222</v>
      </c>
      <c r="C2" s="2" t="s">
        <v>223</v>
      </c>
    </row>
    <row r="3" spans="1:3" x14ac:dyDescent="0.35">
      <c r="A3" s="2" t="s">
        <v>21</v>
      </c>
      <c r="B3" s="2" t="s">
        <v>8</v>
      </c>
      <c r="C3" s="2" t="s">
        <v>224</v>
      </c>
    </row>
    <row r="4" spans="1:3" x14ac:dyDescent="0.35">
      <c r="A4" s="2" t="s">
        <v>21</v>
      </c>
      <c r="B4" s="2" t="s">
        <v>10</v>
      </c>
      <c r="C4" s="2" t="s">
        <v>225</v>
      </c>
    </row>
    <row r="5" spans="1:3" ht="29" x14ac:dyDescent="0.35">
      <c r="A5" s="2" t="s">
        <v>21</v>
      </c>
      <c r="B5" s="2" t="s">
        <v>12</v>
      </c>
      <c r="C5" s="2" t="s">
        <v>226</v>
      </c>
    </row>
    <row r="6" spans="1:3" ht="29" x14ac:dyDescent="0.35">
      <c r="A6" s="2" t="s">
        <v>21</v>
      </c>
      <c r="B6" s="2" t="s">
        <v>14</v>
      </c>
      <c r="C6" s="2" t="s">
        <v>227</v>
      </c>
    </row>
    <row r="7" spans="1:3" x14ac:dyDescent="0.35">
      <c r="A7" s="2" t="s">
        <v>21</v>
      </c>
      <c r="B7" s="2" t="s">
        <v>15</v>
      </c>
      <c r="C7" s="2" t="s">
        <v>228</v>
      </c>
    </row>
    <row r="8" spans="1:3" x14ac:dyDescent="0.35">
      <c r="A8" s="2" t="s">
        <v>229</v>
      </c>
      <c r="B8" s="2" t="s">
        <v>230</v>
      </c>
      <c r="C8" s="2" t="s">
        <v>231</v>
      </c>
    </row>
    <row r="9" spans="1:3" ht="29" x14ac:dyDescent="0.35">
      <c r="A9" s="2" t="s">
        <v>229</v>
      </c>
      <c r="B9" s="2" t="s">
        <v>232</v>
      </c>
      <c r="C9" s="2" t="s">
        <v>233</v>
      </c>
    </row>
    <row r="10" spans="1:3" x14ac:dyDescent="0.35">
      <c r="A10" s="2" t="s">
        <v>229</v>
      </c>
      <c r="B10" s="2" t="s">
        <v>234</v>
      </c>
      <c r="C10" s="2" t="s">
        <v>235</v>
      </c>
    </row>
    <row r="11" spans="1:3" ht="29" x14ac:dyDescent="0.35">
      <c r="A11" s="2" t="s">
        <v>236</v>
      </c>
      <c r="B11" s="2" t="s">
        <v>139</v>
      </c>
      <c r="C11" s="2"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CEMENTERIOS</vt:lpstr>
      <vt:lpstr>ALOJAMIENTO_TEMPORAL</vt:lpstr>
      <vt:lpstr>VISITAS_ATI</vt:lpstr>
      <vt:lpstr>RESUMEN_MUNICIPAL</vt:lpstr>
      <vt:lpstr>CATALOGOS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Marin</cp:lastModifiedBy>
  <dcterms:modified xsi:type="dcterms:W3CDTF">2026-09-01T18:18:56Z</dcterms:modified>
</cp:coreProperties>
</file>